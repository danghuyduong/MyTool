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5360" windowHeight="4860"/>
  </bookViews>
  <sheets>
    <sheet name="TimeSheet" sheetId="1" r:id="rId1"/>
    <sheet name="Manual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3" l="1"/>
  <c r="R35" i="3"/>
  <c r="Z34" i="3"/>
  <c r="W34" i="3"/>
  <c r="T34" i="3" s="1"/>
  <c r="U34" i="3" s="1"/>
  <c r="V34" i="3"/>
  <c r="N34" i="3"/>
  <c r="O34" i="3" s="1"/>
  <c r="M34" i="3"/>
  <c r="P34" i="3" s="1"/>
  <c r="I34" i="3"/>
  <c r="G34" i="3"/>
  <c r="H34" i="3" s="1"/>
  <c r="F34" i="3"/>
  <c r="Z33" i="3"/>
  <c r="X33" i="3"/>
  <c r="Y33" i="3" s="1"/>
  <c r="W33" i="3"/>
  <c r="V33" i="3"/>
  <c r="T33" i="3"/>
  <c r="U33" i="3" s="1"/>
  <c r="Q33" i="3"/>
  <c r="N33" i="3"/>
  <c r="O33" i="3" s="1"/>
  <c r="P33" i="3" s="1"/>
  <c r="M33" i="3"/>
  <c r="H33" i="3"/>
  <c r="G33" i="3"/>
  <c r="I33" i="3" s="1"/>
  <c r="F33" i="3"/>
  <c r="J33" i="3" s="1"/>
  <c r="Z32" i="3"/>
  <c r="W32" i="3"/>
  <c r="T32" i="3" s="1"/>
  <c r="U32" i="3" s="1"/>
  <c r="V32" i="3"/>
  <c r="Q32" i="3"/>
  <c r="O32" i="3"/>
  <c r="P32" i="3" s="1"/>
  <c r="N32" i="3"/>
  <c r="M32" i="3"/>
  <c r="G32" i="3"/>
  <c r="F32" i="3"/>
  <c r="Z31" i="3"/>
  <c r="X31" i="3"/>
  <c r="W31" i="3"/>
  <c r="V31" i="3"/>
  <c r="Y31" i="3" s="1"/>
  <c r="T31" i="3"/>
  <c r="U31" i="3" s="1"/>
  <c r="Q31" i="3"/>
  <c r="N31" i="3"/>
  <c r="O31" i="3" s="1"/>
  <c r="P31" i="3" s="1"/>
  <c r="M31" i="3"/>
  <c r="G31" i="3"/>
  <c r="F31" i="3"/>
  <c r="Z30" i="3"/>
  <c r="W30" i="3"/>
  <c r="X30" i="3" s="1"/>
  <c r="Y30" i="3" s="1"/>
  <c r="V30" i="3"/>
  <c r="T30" i="3"/>
  <c r="U30" i="3" s="1"/>
  <c r="Q30" i="3"/>
  <c r="O30" i="3"/>
  <c r="N30" i="3"/>
  <c r="M30" i="3"/>
  <c r="P30" i="3" s="1"/>
  <c r="G30" i="3"/>
  <c r="I30" i="3" s="1"/>
  <c r="F30" i="3"/>
  <c r="Z29" i="3"/>
  <c r="X29" i="3"/>
  <c r="W29" i="3"/>
  <c r="V29" i="3"/>
  <c r="Y29" i="3" s="1"/>
  <c r="T29" i="3"/>
  <c r="U29" i="3" s="1"/>
  <c r="Q29" i="3"/>
  <c r="N29" i="3"/>
  <c r="O29" i="3" s="1"/>
  <c r="P29" i="3" s="1"/>
  <c r="M29" i="3"/>
  <c r="I29" i="3"/>
  <c r="H29" i="3"/>
  <c r="J29" i="3" s="1"/>
  <c r="G29" i="3"/>
  <c r="F29" i="3"/>
  <c r="Z28" i="3"/>
  <c r="W28" i="3"/>
  <c r="X28" i="3" s="1"/>
  <c r="V28" i="3"/>
  <c r="O28" i="3"/>
  <c r="N28" i="3"/>
  <c r="M28" i="3"/>
  <c r="P28" i="3" s="1"/>
  <c r="I28" i="3"/>
  <c r="G28" i="3"/>
  <c r="H28" i="3" s="1"/>
  <c r="J28" i="3" s="1"/>
  <c r="F28" i="3"/>
  <c r="Z27" i="3"/>
  <c r="W27" i="3"/>
  <c r="Q27" i="3" s="1"/>
  <c r="V27" i="3"/>
  <c r="N27" i="3"/>
  <c r="O27" i="3" s="1"/>
  <c r="M27" i="3"/>
  <c r="P27" i="3" s="1"/>
  <c r="J27" i="3"/>
  <c r="H27" i="3"/>
  <c r="G27" i="3"/>
  <c r="I27" i="3" s="1"/>
  <c r="F27" i="3"/>
  <c r="Z26" i="3"/>
  <c r="W26" i="3"/>
  <c r="T26" i="3" s="1"/>
  <c r="U26" i="3" s="1"/>
  <c r="V26" i="3"/>
  <c r="N26" i="3"/>
  <c r="O26" i="3" s="1"/>
  <c r="M26" i="3"/>
  <c r="P26" i="3" s="1"/>
  <c r="I26" i="3"/>
  <c r="G26" i="3"/>
  <c r="H26" i="3" s="1"/>
  <c r="F26" i="3"/>
  <c r="Z25" i="3"/>
  <c r="X25" i="3"/>
  <c r="Y25" i="3" s="1"/>
  <c r="W25" i="3"/>
  <c r="V25" i="3"/>
  <c r="T25" i="3"/>
  <c r="U25" i="3" s="1"/>
  <c r="Q25" i="3"/>
  <c r="N25" i="3"/>
  <c r="O25" i="3" s="1"/>
  <c r="P25" i="3" s="1"/>
  <c r="M25" i="3"/>
  <c r="J25" i="3"/>
  <c r="H25" i="3"/>
  <c r="G25" i="3"/>
  <c r="I25" i="3" s="1"/>
  <c r="F25" i="3"/>
  <c r="Z24" i="3"/>
  <c r="W24" i="3"/>
  <c r="T24" i="3" s="1"/>
  <c r="U24" i="3" s="1"/>
  <c r="V24" i="3"/>
  <c r="O24" i="3"/>
  <c r="P24" i="3" s="1"/>
  <c r="N24" i="3"/>
  <c r="M24" i="3"/>
  <c r="G24" i="3"/>
  <c r="F24" i="3"/>
  <c r="Z23" i="3"/>
  <c r="X23" i="3"/>
  <c r="W23" i="3"/>
  <c r="V23" i="3"/>
  <c r="Y23" i="3" s="1"/>
  <c r="T23" i="3"/>
  <c r="U23" i="3" s="1"/>
  <c r="Q23" i="3"/>
  <c r="N23" i="3"/>
  <c r="O23" i="3" s="1"/>
  <c r="P23" i="3" s="1"/>
  <c r="M23" i="3"/>
  <c r="G23" i="3"/>
  <c r="F23" i="3"/>
  <c r="Z22" i="3"/>
  <c r="W22" i="3"/>
  <c r="X22" i="3" s="1"/>
  <c r="Y22" i="3" s="1"/>
  <c r="V22" i="3"/>
  <c r="T22" i="3"/>
  <c r="U22" i="3" s="1"/>
  <c r="Q22" i="3"/>
  <c r="O22" i="3"/>
  <c r="N22" i="3"/>
  <c r="M22" i="3"/>
  <c r="P22" i="3" s="1"/>
  <c r="G22" i="3"/>
  <c r="H22" i="3" s="1"/>
  <c r="F22" i="3"/>
  <c r="Z21" i="3"/>
  <c r="X21" i="3"/>
  <c r="W21" i="3"/>
  <c r="V21" i="3"/>
  <c r="Y21" i="3" s="1"/>
  <c r="T21" i="3"/>
  <c r="U21" i="3" s="1"/>
  <c r="Q21" i="3"/>
  <c r="N21" i="3"/>
  <c r="O21" i="3" s="1"/>
  <c r="P21" i="3" s="1"/>
  <c r="M21" i="3"/>
  <c r="I21" i="3"/>
  <c r="H21" i="3"/>
  <c r="G21" i="3"/>
  <c r="F21" i="3"/>
  <c r="J21" i="3" s="1"/>
  <c r="Z20" i="3"/>
  <c r="W20" i="3"/>
  <c r="X20" i="3" s="1"/>
  <c r="V20" i="3"/>
  <c r="Y20" i="3" s="1"/>
  <c r="Q20" i="3"/>
  <c r="O20" i="3"/>
  <c r="N20" i="3"/>
  <c r="M20" i="3"/>
  <c r="P20" i="3" s="1"/>
  <c r="I20" i="3"/>
  <c r="G20" i="3"/>
  <c r="H20" i="3" s="1"/>
  <c r="J20" i="3" s="1"/>
  <c r="F20" i="3"/>
  <c r="Z19" i="3"/>
  <c r="W19" i="3"/>
  <c r="Q19" i="3" s="1"/>
  <c r="N19" i="3"/>
  <c r="O19" i="3" s="1"/>
  <c r="M19" i="3"/>
  <c r="J19" i="3"/>
  <c r="H19" i="3"/>
  <c r="G19" i="3"/>
  <c r="I19" i="3" s="1"/>
  <c r="F19" i="3"/>
  <c r="Z18" i="3"/>
  <c r="W18" i="3"/>
  <c r="T18" i="3" s="1"/>
  <c r="U18" i="3" s="1"/>
  <c r="N18" i="3"/>
  <c r="O18" i="3" s="1"/>
  <c r="M18" i="3"/>
  <c r="I18" i="3"/>
  <c r="G18" i="3"/>
  <c r="H18" i="3" s="1"/>
  <c r="F18" i="3"/>
  <c r="Z17" i="3"/>
  <c r="X17" i="3"/>
  <c r="W17" i="3"/>
  <c r="T17" i="3"/>
  <c r="U17" i="3" s="1"/>
  <c r="Q17" i="3"/>
  <c r="N17" i="3"/>
  <c r="O17" i="3" s="1"/>
  <c r="P17" i="3" s="1"/>
  <c r="V17" i="3" s="1"/>
  <c r="Y17" i="3" s="1"/>
  <c r="M17" i="3"/>
  <c r="J17" i="3"/>
  <c r="H17" i="3"/>
  <c r="G17" i="3"/>
  <c r="I17" i="3" s="1"/>
  <c r="F17" i="3"/>
  <c r="Z16" i="3"/>
  <c r="W16" i="3"/>
  <c r="T16" i="3" s="1"/>
  <c r="U16" i="3" s="1"/>
  <c r="V16" i="3"/>
  <c r="O16" i="3"/>
  <c r="P16" i="3" s="1"/>
  <c r="N16" i="3"/>
  <c r="M16" i="3"/>
  <c r="G16" i="3"/>
  <c r="F16" i="3"/>
  <c r="Z15" i="3"/>
  <c r="X15" i="3"/>
  <c r="W15" i="3"/>
  <c r="V15" i="3"/>
  <c r="Y15" i="3" s="1"/>
  <c r="T15" i="3"/>
  <c r="U15" i="3" s="1"/>
  <c r="Q15" i="3"/>
  <c r="N15" i="3"/>
  <c r="O15" i="3" s="1"/>
  <c r="P15" i="3" s="1"/>
  <c r="M15" i="3"/>
  <c r="G15" i="3"/>
  <c r="H15" i="3" s="1"/>
  <c r="F15" i="3"/>
  <c r="Z14" i="3"/>
  <c r="W14" i="3"/>
  <c r="X14" i="3" s="1"/>
  <c r="Y14" i="3" s="1"/>
  <c r="V14" i="3"/>
  <c r="T14" i="3"/>
  <c r="U14" i="3" s="1"/>
  <c r="Q14" i="3"/>
  <c r="O14" i="3"/>
  <c r="N14" i="3"/>
  <c r="M14" i="3"/>
  <c r="P14" i="3" s="1"/>
  <c r="G14" i="3"/>
  <c r="I14" i="3" s="1"/>
  <c r="F14" i="3"/>
  <c r="Z13" i="3"/>
  <c r="X13" i="3"/>
  <c r="W13" i="3"/>
  <c r="Q13" i="3" s="1"/>
  <c r="T13" i="3"/>
  <c r="U13" i="3" s="1"/>
  <c r="N13" i="3"/>
  <c r="O13" i="3" s="1"/>
  <c r="P13" i="3" s="1"/>
  <c r="V13" i="3" s="1"/>
  <c r="Y13" i="3" s="1"/>
  <c r="M13" i="3"/>
  <c r="I13" i="3"/>
  <c r="H13" i="3"/>
  <c r="G13" i="3"/>
  <c r="F13" i="3"/>
  <c r="J13" i="3" s="1"/>
  <c r="Z12" i="3"/>
  <c r="W12" i="3"/>
  <c r="X12" i="3" s="1"/>
  <c r="Q12" i="3"/>
  <c r="O12" i="3"/>
  <c r="N12" i="3"/>
  <c r="M12" i="3"/>
  <c r="P12" i="3" s="1"/>
  <c r="V12" i="3" s="1"/>
  <c r="Y12" i="3" s="1"/>
  <c r="I12" i="3"/>
  <c r="G12" i="3"/>
  <c r="H12" i="3" s="1"/>
  <c r="J12" i="3" s="1"/>
  <c r="F12" i="3"/>
  <c r="Z11" i="3"/>
  <c r="W11" i="3"/>
  <c r="Q11" i="3" s="1"/>
  <c r="N11" i="3"/>
  <c r="O11" i="3" s="1"/>
  <c r="M11" i="3"/>
  <c r="P11" i="3" s="1"/>
  <c r="V11" i="3" s="1"/>
  <c r="J11" i="3"/>
  <c r="H11" i="3"/>
  <c r="G11" i="3"/>
  <c r="F11" i="3"/>
  <c r="I11" i="3" s="1"/>
  <c r="Z10" i="3"/>
  <c r="W10" i="3"/>
  <c r="T10" i="3" s="1"/>
  <c r="U10" i="3" s="1"/>
  <c r="N10" i="3"/>
  <c r="O10" i="3" s="1"/>
  <c r="M10" i="3"/>
  <c r="P10" i="3" s="1"/>
  <c r="I10" i="3"/>
  <c r="G10" i="3"/>
  <c r="H10" i="3" s="1"/>
  <c r="F10" i="3"/>
  <c r="Z9" i="3"/>
  <c r="X9" i="3"/>
  <c r="Y9" i="3" s="1"/>
  <c r="W9" i="3"/>
  <c r="V9" i="3"/>
  <c r="T9" i="3"/>
  <c r="U9" i="3" s="1"/>
  <c r="Q9" i="3"/>
  <c r="N9" i="3"/>
  <c r="O9" i="3" s="1"/>
  <c r="P9" i="3" s="1"/>
  <c r="M9" i="3"/>
  <c r="J9" i="3"/>
  <c r="H9" i="3"/>
  <c r="G9" i="3"/>
  <c r="I9" i="3" s="1"/>
  <c r="F9" i="3"/>
  <c r="Z8" i="3"/>
  <c r="W8" i="3"/>
  <c r="Q8" i="3" s="1"/>
  <c r="V8" i="3"/>
  <c r="O8" i="3"/>
  <c r="P8" i="3" s="1"/>
  <c r="N8" i="3"/>
  <c r="M8" i="3"/>
  <c r="G8" i="3"/>
  <c r="F8" i="3"/>
  <c r="Z7" i="3"/>
  <c r="X7" i="3"/>
  <c r="W7" i="3"/>
  <c r="T7" i="3"/>
  <c r="U7" i="3" s="1"/>
  <c r="Q7" i="3"/>
  <c r="N7" i="3"/>
  <c r="O7" i="3" s="1"/>
  <c r="P7" i="3" s="1"/>
  <c r="M7" i="3"/>
  <c r="G7" i="3"/>
  <c r="F7" i="3"/>
  <c r="Z6" i="3"/>
  <c r="W6" i="3"/>
  <c r="X6" i="3" s="1"/>
  <c r="T6" i="3"/>
  <c r="U6" i="3" s="1"/>
  <c r="Q6" i="3"/>
  <c r="O6" i="3"/>
  <c r="N6" i="3"/>
  <c r="M6" i="3"/>
  <c r="P6" i="3" s="1"/>
  <c r="G6" i="3"/>
  <c r="I6" i="3" s="1"/>
  <c r="F6" i="3"/>
  <c r="Z5" i="3"/>
  <c r="X5" i="3"/>
  <c r="W5" i="3"/>
  <c r="Q5" i="3" s="1"/>
  <c r="T5" i="3"/>
  <c r="U5" i="3" s="1"/>
  <c r="N5" i="3"/>
  <c r="O5" i="3" s="1"/>
  <c r="P5" i="3" s="1"/>
  <c r="V5" i="3" s="1"/>
  <c r="Y5" i="3" s="1"/>
  <c r="M5" i="3"/>
  <c r="I5" i="3"/>
  <c r="H5" i="3"/>
  <c r="G5" i="3"/>
  <c r="F5" i="3"/>
  <c r="J5" i="3" s="1"/>
  <c r="Z4" i="3"/>
  <c r="W4" i="3"/>
  <c r="X4" i="3" s="1"/>
  <c r="Q4" i="3"/>
  <c r="O4" i="3"/>
  <c r="N4" i="3"/>
  <c r="M4" i="3"/>
  <c r="P4" i="3" s="1"/>
  <c r="V4" i="3" s="1"/>
  <c r="I4" i="3"/>
  <c r="G4" i="3"/>
  <c r="H4" i="3" s="1"/>
  <c r="J4" i="3" s="1"/>
  <c r="F4" i="3"/>
  <c r="AB3" i="3"/>
  <c r="J32" i="3" l="1"/>
  <c r="Y4" i="3"/>
  <c r="J23" i="3"/>
  <c r="V10" i="3"/>
  <c r="Y10" i="3" s="1"/>
  <c r="V6" i="3"/>
  <c r="Y6" i="3" s="1"/>
  <c r="J7" i="3"/>
  <c r="V7" i="3" s="1"/>
  <c r="Y7" i="3" s="1"/>
  <c r="P18" i="3"/>
  <c r="P19" i="3"/>
  <c r="V19" i="3" s="1"/>
  <c r="Y28" i="3"/>
  <c r="T11" i="3"/>
  <c r="U11" i="3" s="1"/>
  <c r="T19" i="3"/>
  <c r="U19" i="3" s="1"/>
  <c r="T27" i="3"/>
  <c r="U27" i="3" s="1"/>
  <c r="Q28" i="3"/>
  <c r="T4" i="3"/>
  <c r="X8" i="3"/>
  <c r="Y8" i="3" s="1"/>
  <c r="J10" i="3"/>
  <c r="T12" i="3"/>
  <c r="U12" i="3" s="1"/>
  <c r="X16" i="3"/>
  <c r="Y16" i="3" s="1"/>
  <c r="J18" i="3"/>
  <c r="T20" i="3"/>
  <c r="U20" i="3" s="1"/>
  <c r="X24" i="3"/>
  <c r="Y24" i="3" s="1"/>
  <c r="J26" i="3"/>
  <c r="T28" i="3"/>
  <c r="U28" i="3" s="1"/>
  <c r="X32" i="3"/>
  <c r="Y32" i="3" s="1"/>
  <c r="J34" i="3"/>
  <c r="H6" i="3"/>
  <c r="X18" i="3"/>
  <c r="Q16" i="3"/>
  <c r="X19" i="3"/>
  <c r="I22" i="3"/>
  <c r="Q24" i="3"/>
  <c r="Q35" i="3" s="1"/>
  <c r="W35" i="3"/>
  <c r="J6" i="3"/>
  <c r="I7" i="3"/>
  <c r="H8" i="3"/>
  <c r="J8" i="3" s="1"/>
  <c r="T8" i="3"/>
  <c r="U8" i="3" s="1"/>
  <c r="I15" i="3"/>
  <c r="H16" i="3"/>
  <c r="J16" i="3" s="1"/>
  <c r="J22" i="3"/>
  <c r="I23" i="3"/>
  <c r="H24" i="3"/>
  <c r="J24" i="3" s="1"/>
  <c r="I31" i="3"/>
  <c r="H32" i="3"/>
  <c r="X26" i="3"/>
  <c r="Y26" i="3" s="1"/>
  <c r="H30" i="3"/>
  <c r="J30" i="3" s="1"/>
  <c r="X11" i="3"/>
  <c r="Y11" i="3" s="1"/>
  <c r="H23" i="3"/>
  <c r="X27" i="3"/>
  <c r="Y27" i="3" s="1"/>
  <c r="H31" i="3"/>
  <c r="J31" i="3" s="1"/>
  <c r="I8" i="3"/>
  <c r="Q10" i="3"/>
  <c r="J15" i="3"/>
  <c r="I16" i="3"/>
  <c r="Q18" i="3"/>
  <c r="I24" i="3"/>
  <c r="Q26" i="3"/>
  <c r="I32" i="3"/>
  <c r="Q34" i="3"/>
  <c r="X10" i="3"/>
  <c r="H14" i="3"/>
  <c r="J14" i="3" s="1"/>
  <c r="X34" i="3"/>
  <c r="Y34" i="3" s="1"/>
  <c r="H7" i="3"/>
  <c r="AB3" i="1"/>
  <c r="U4" i="3" l="1"/>
  <c r="U35" i="3" s="1"/>
  <c r="Y35" i="3" s="1"/>
  <c r="Y36" i="3" s="1"/>
  <c r="T35" i="3"/>
  <c r="Y19" i="3"/>
  <c r="V18" i="3"/>
  <c r="Y18" i="3" s="1"/>
  <c r="X35" i="3"/>
  <c r="V35" i="3"/>
  <c r="W34" i="1"/>
  <c r="Z5" i="1" l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4" i="1"/>
  <c r="R35" i="1" l="1"/>
  <c r="S35" i="1"/>
  <c r="M34" i="1"/>
  <c r="N34" i="1"/>
  <c r="O34" i="1" s="1"/>
  <c r="Q34" i="1"/>
  <c r="T34" i="1"/>
  <c r="U34" i="1" s="1"/>
  <c r="X34" i="1"/>
  <c r="P34" i="1" l="1"/>
  <c r="F4" i="1"/>
  <c r="G4" i="1"/>
  <c r="M4" i="1"/>
  <c r="N4" i="1"/>
  <c r="O4" i="1" s="1"/>
  <c r="P4" i="1" s="1"/>
  <c r="W4" i="1"/>
  <c r="Q4" i="1" s="1"/>
  <c r="F5" i="1"/>
  <c r="G5" i="1"/>
  <c r="H5" i="1" s="1"/>
  <c r="M5" i="1"/>
  <c r="N5" i="1"/>
  <c r="O5" i="1" s="1"/>
  <c r="W5" i="1"/>
  <c r="T5" i="1" s="1"/>
  <c r="U5" i="1" s="1"/>
  <c r="F6" i="1"/>
  <c r="G6" i="1"/>
  <c r="H6" i="1" s="1"/>
  <c r="M6" i="1"/>
  <c r="N6" i="1"/>
  <c r="O6" i="1" s="1"/>
  <c r="W6" i="1"/>
  <c r="X6" i="1" s="1"/>
  <c r="F7" i="1"/>
  <c r="G7" i="1"/>
  <c r="H7" i="1" s="1"/>
  <c r="M7" i="1"/>
  <c r="N7" i="1"/>
  <c r="O7" i="1" s="1"/>
  <c r="W7" i="1"/>
  <c r="Q7" i="1" s="1"/>
  <c r="F8" i="1"/>
  <c r="G8" i="1"/>
  <c r="H8" i="1" s="1"/>
  <c r="M8" i="1"/>
  <c r="N8" i="1"/>
  <c r="O8" i="1" s="1"/>
  <c r="W8" i="1"/>
  <c r="Q8" i="1" s="1"/>
  <c r="F9" i="1"/>
  <c r="G9" i="1"/>
  <c r="M9" i="1"/>
  <c r="N9" i="1"/>
  <c r="O9" i="1" s="1"/>
  <c r="W9" i="1"/>
  <c r="X9" i="1" s="1"/>
  <c r="F10" i="1"/>
  <c r="G10" i="1"/>
  <c r="M10" i="1"/>
  <c r="N10" i="1"/>
  <c r="O10" i="1" s="1"/>
  <c r="W10" i="1"/>
  <c r="X10" i="1" s="1"/>
  <c r="F11" i="1"/>
  <c r="G11" i="1"/>
  <c r="H11" i="1" s="1"/>
  <c r="M11" i="1"/>
  <c r="N11" i="1"/>
  <c r="O11" i="1" s="1"/>
  <c r="W11" i="1"/>
  <c r="T11" i="1" s="1"/>
  <c r="U11" i="1" s="1"/>
  <c r="F12" i="1"/>
  <c r="G12" i="1"/>
  <c r="H12" i="1" s="1"/>
  <c r="M12" i="1"/>
  <c r="N12" i="1"/>
  <c r="O12" i="1" s="1"/>
  <c r="W12" i="1"/>
  <c r="Q12" i="1" s="1"/>
  <c r="F13" i="1"/>
  <c r="G13" i="1"/>
  <c r="M13" i="1"/>
  <c r="N13" i="1"/>
  <c r="O13" i="1" s="1"/>
  <c r="W13" i="1"/>
  <c r="Q13" i="1" s="1"/>
  <c r="F14" i="1"/>
  <c r="G14" i="1"/>
  <c r="H14" i="1" s="1"/>
  <c r="M14" i="1"/>
  <c r="N14" i="1"/>
  <c r="O14" i="1" s="1"/>
  <c r="W14" i="1"/>
  <c r="X14" i="1" s="1"/>
  <c r="F15" i="1"/>
  <c r="G15" i="1"/>
  <c r="H15" i="1" s="1"/>
  <c r="M15" i="1"/>
  <c r="N15" i="1"/>
  <c r="O15" i="1" s="1"/>
  <c r="W15" i="1"/>
  <c r="X15" i="1" s="1"/>
  <c r="F16" i="1"/>
  <c r="G16" i="1"/>
  <c r="H16" i="1" s="1"/>
  <c r="M16" i="1"/>
  <c r="N16" i="1"/>
  <c r="O16" i="1" s="1"/>
  <c r="W16" i="1"/>
  <c r="Q16" i="1" s="1"/>
  <c r="F17" i="1"/>
  <c r="G17" i="1"/>
  <c r="H17" i="1" s="1"/>
  <c r="M17" i="1"/>
  <c r="N17" i="1"/>
  <c r="O17" i="1" s="1"/>
  <c r="W17" i="1"/>
  <c r="Q17" i="1" s="1"/>
  <c r="F18" i="1"/>
  <c r="G18" i="1"/>
  <c r="H18" i="1" s="1"/>
  <c r="M18" i="1"/>
  <c r="N18" i="1"/>
  <c r="O18" i="1" s="1"/>
  <c r="W18" i="1"/>
  <c r="Q18" i="1" s="1"/>
  <c r="F19" i="1"/>
  <c r="G19" i="1"/>
  <c r="M19" i="1"/>
  <c r="N19" i="1"/>
  <c r="O19" i="1" s="1"/>
  <c r="W19" i="1"/>
  <c r="Q19" i="1" s="1"/>
  <c r="F20" i="1"/>
  <c r="G20" i="1"/>
  <c r="H20" i="1" s="1"/>
  <c r="M20" i="1"/>
  <c r="N20" i="1"/>
  <c r="O20" i="1" s="1"/>
  <c r="W20" i="1"/>
  <c r="Q20" i="1" s="1"/>
  <c r="F21" i="1"/>
  <c r="G21" i="1"/>
  <c r="M21" i="1"/>
  <c r="N21" i="1"/>
  <c r="O21" i="1" s="1"/>
  <c r="W21" i="1"/>
  <c r="T21" i="1" s="1"/>
  <c r="U21" i="1" s="1"/>
  <c r="F22" i="1"/>
  <c r="G22" i="1"/>
  <c r="H22" i="1" s="1"/>
  <c r="M22" i="1"/>
  <c r="N22" i="1"/>
  <c r="O22" i="1" s="1"/>
  <c r="W22" i="1"/>
  <c r="Q22" i="1" s="1"/>
  <c r="F23" i="1"/>
  <c r="G23" i="1"/>
  <c r="H23" i="1" s="1"/>
  <c r="M23" i="1"/>
  <c r="N23" i="1"/>
  <c r="O23" i="1" s="1"/>
  <c r="W23" i="1"/>
  <c r="Q23" i="1" s="1"/>
  <c r="F24" i="1"/>
  <c r="G24" i="1"/>
  <c r="H24" i="1" s="1"/>
  <c r="M24" i="1"/>
  <c r="N24" i="1"/>
  <c r="O24" i="1" s="1"/>
  <c r="W24" i="1"/>
  <c r="X24" i="1" s="1"/>
  <c r="F25" i="1"/>
  <c r="G25" i="1"/>
  <c r="M25" i="1"/>
  <c r="N25" i="1"/>
  <c r="O25" i="1" s="1"/>
  <c r="W25" i="1"/>
  <c r="X25" i="1" s="1"/>
  <c r="F26" i="1"/>
  <c r="G26" i="1"/>
  <c r="H26" i="1" s="1"/>
  <c r="M26" i="1"/>
  <c r="N26" i="1"/>
  <c r="O26" i="1" s="1"/>
  <c r="W26" i="1"/>
  <c r="X26" i="1" s="1"/>
  <c r="F27" i="1"/>
  <c r="G27" i="1"/>
  <c r="H27" i="1" s="1"/>
  <c r="M27" i="1"/>
  <c r="N27" i="1"/>
  <c r="O27" i="1" s="1"/>
  <c r="W27" i="1"/>
  <c r="Q27" i="1" s="1"/>
  <c r="F28" i="1"/>
  <c r="G28" i="1"/>
  <c r="M28" i="1"/>
  <c r="N28" i="1"/>
  <c r="O28" i="1" s="1"/>
  <c r="W28" i="1"/>
  <c r="Q28" i="1" s="1"/>
  <c r="F29" i="1"/>
  <c r="G29" i="1"/>
  <c r="H29" i="1" s="1"/>
  <c r="M29" i="1"/>
  <c r="N29" i="1"/>
  <c r="O29" i="1" s="1"/>
  <c r="W29" i="1"/>
  <c r="Q29" i="1" s="1"/>
  <c r="F30" i="1"/>
  <c r="G30" i="1"/>
  <c r="H30" i="1" s="1"/>
  <c r="M30" i="1"/>
  <c r="N30" i="1"/>
  <c r="O30" i="1" s="1"/>
  <c r="W30" i="1"/>
  <c r="Q30" i="1" s="1"/>
  <c r="F31" i="1"/>
  <c r="G31" i="1"/>
  <c r="I31" i="1" s="1"/>
  <c r="M31" i="1"/>
  <c r="N31" i="1"/>
  <c r="O31" i="1" s="1"/>
  <c r="W31" i="1"/>
  <c r="Q31" i="1" s="1"/>
  <c r="F32" i="1"/>
  <c r="G32" i="1"/>
  <c r="H32" i="1" s="1"/>
  <c r="M32" i="1"/>
  <c r="N32" i="1"/>
  <c r="O32" i="1" s="1"/>
  <c r="W32" i="1"/>
  <c r="T32" i="1" s="1"/>
  <c r="U32" i="1" s="1"/>
  <c r="F33" i="1"/>
  <c r="G33" i="1"/>
  <c r="H33" i="1" s="1"/>
  <c r="M33" i="1"/>
  <c r="N33" i="1"/>
  <c r="O33" i="1" s="1"/>
  <c r="W33" i="1"/>
  <c r="Q33" i="1" s="1"/>
  <c r="F34" i="1"/>
  <c r="G34" i="1"/>
  <c r="X23" i="1" l="1"/>
  <c r="I10" i="1"/>
  <c r="H19" i="1"/>
  <c r="J19" i="1" s="1"/>
  <c r="P18" i="1"/>
  <c r="X16" i="1"/>
  <c r="I15" i="1"/>
  <c r="X28" i="1"/>
  <c r="X17" i="1"/>
  <c r="X11" i="1"/>
  <c r="X22" i="1"/>
  <c r="X18" i="1"/>
  <c r="I13" i="1"/>
  <c r="X12" i="1"/>
  <c r="X31" i="1"/>
  <c r="P14" i="1"/>
  <c r="H10" i="1"/>
  <c r="J10" i="1" s="1"/>
  <c r="I9" i="1"/>
  <c r="P29" i="1"/>
  <c r="I28" i="1"/>
  <c r="P26" i="1"/>
  <c r="I25" i="1"/>
  <c r="I21" i="1"/>
  <c r="X19" i="1"/>
  <c r="I4" i="1"/>
  <c r="P15" i="1"/>
  <c r="P19" i="1"/>
  <c r="I17" i="1"/>
  <c r="J17" i="1" s="1"/>
  <c r="J5" i="1"/>
  <c r="I30" i="1"/>
  <c r="X27" i="1"/>
  <c r="P25" i="1"/>
  <c r="P21" i="1"/>
  <c r="P20" i="1"/>
  <c r="P12" i="1"/>
  <c r="P11" i="1"/>
  <c r="I11" i="1"/>
  <c r="H9" i="1"/>
  <c r="J9" i="1" s="1"/>
  <c r="I5" i="1"/>
  <c r="H4" i="1"/>
  <c r="J4" i="1" s="1"/>
  <c r="V4" i="1" s="1"/>
  <c r="H34" i="1"/>
  <c r="J34" i="1" s="1"/>
  <c r="V34" i="1" s="1"/>
  <c r="Y34" i="1" s="1"/>
  <c r="P33" i="1"/>
  <c r="X33" i="1"/>
  <c r="P32" i="1"/>
  <c r="P31" i="1"/>
  <c r="P30" i="1"/>
  <c r="P28" i="1"/>
  <c r="P27" i="1"/>
  <c r="I26" i="1"/>
  <c r="Q25" i="1"/>
  <c r="T25" i="1"/>
  <c r="U25" i="1" s="1"/>
  <c r="P23" i="1"/>
  <c r="P22" i="1"/>
  <c r="T19" i="1"/>
  <c r="U19" i="1" s="1"/>
  <c r="I18" i="1"/>
  <c r="P17" i="1"/>
  <c r="T17" i="1"/>
  <c r="U17" i="1" s="1"/>
  <c r="P16" i="1"/>
  <c r="T12" i="1"/>
  <c r="U12" i="1" s="1"/>
  <c r="Q11" i="1"/>
  <c r="P8" i="1"/>
  <c r="P6" i="1"/>
  <c r="T31" i="1"/>
  <c r="U31" i="1" s="1"/>
  <c r="X30" i="1"/>
  <c r="H25" i="1"/>
  <c r="J25" i="1" s="1"/>
  <c r="X21" i="1"/>
  <c r="X20" i="1"/>
  <c r="T18" i="1"/>
  <c r="U18" i="1" s="1"/>
  <c r="X5" i="1"/>
  <c r="I22" i="1"/>
  <c r="J22" i="1" s="1"/>
  <c r="J29" i="1"/>
  <c r="I29" i="1"/>
  <c r="J20" i="1"/>
  <c r="T29" i="1"/>
  <c r="U29" i="1" s="1"/>
  <c r="T26" i="1"/>
  <c r="U26" i="1" s="1"/>
  <c r="J23" i="1"/>
  <c r="I20" i="1"/>
  <c r="J18" i="1"/>
  <c r="T15" i="1"/>
  <c r="U15" i="1" s="1"/>
  <c r="H31" i="1"/>
  <c r="J31" i="1" s="1"/>
  <c r="J30" i="1"/>
  <c r="H28" i="1"/>
  <c r="J28" i="1" s="1"/>
  <c r="Q26" i="1"/>
  <c r="I23" i="1"/>
  <c r="I16" i="1"/>
  <c r="Q15" i="1"/>
  <c r="J33" i="1"/>
  <c r="T30" i="1"/>
  <c r="U30" i="1" s="1"/>
  <c r="Q32" i="1"/>
  <c r="I24" i="1"/>
  <c r="J24" i="1" s="1"/>
  <c r="I34" i="1"/>
  <c r="I33" i="1"/>
  <c r="X29" i="1"/>
  <c r="I27" i="1"/>
  <c r="H21" i="1"/>
  <c r="J21" i="1" s="1"/>
  <c r="Q14" i="1"/>
  <c r="I12" i="1"/>
  <c r="Q5" i="1"/>
  <c r="X7" i="1"/>
  <c r="X4" i="1"/>
  <c r="I7" i="1"/>
  <c r="T4" i="1"/>
  <c r="P5" i="1"/>
  <c r="V33" i="1"/>
  <c r="X32" i="1"/>
  <c r="T33" i="1"/>
  <c r="U33" i="1" s="1"/>
  <c r="J32" i="1"/>
  <c r="V32" i="1" s="1"/>
  <c r="I32" i="1"/>
  <c r="P24" i="1"/>
  <c r="T24" i="1"/>
  <c r="U24" i="1" s="1"/>
  <c r="J27" i="1"/>
  <c r="Q24" i="1"/>
  <c r="T28" i="1"/>
  <c r="U28" i="1" s="1"/>
  <c r="T23" i="1"/>
  <c r="U23" i="1" s="1"/>
  <c r="T27" i="1"/>
  <c r="U27" i="1" s="1"/>
  <c r="J26" i="1"/>
  <c r="T22" i="1"/>
  <c r="U22" i="1" s="1"/>
  <c r="J15" i="1"/>
  <c r="T16" i="1"/>
  <c r="U16" i="1" s="1"/>
  <c r="Q21" i="1"/>
  <c r="T20" i="1"/>
  <c r="U20" i="1" s="1"/>
  <c r="I19" i="1"/>
  <c r="J16" i="1"/>
  <c r="T13" i="1"/>
  <c r="U13" i="1" s="1"/>
  <c r="P13" i="1"/>
  <c r="J12" i="1"/>
  <c r="H13" i="1"/>
  <c r="J13" i="1" s="1"/>
  <c r="X13" i="1"/>
  <c r="P10" i="1"/>
  <c r="I8" i="1"/>
  <c r="P9" i="1"/>
  <c r="T7" i="1"/>
  <c r="U7" i="1" s="1"/>
  <c r="J7" i="1"/>
  <c r="J11" i="1"/>
  <c r="X8" i="1"/>
  <c r="Q6" i="1"/>
  <c r="J14" i="1"/>
  <c r="I14" i="1"/>
  <c r="T14" i="1"/>
  <c r="U14" i="1" s="1"/>
  <c r="T10" i="1"/>
  <c r="U10" i="1" s="1"/>
  <c r="Q10" i="1"/>
  <c r="Q9" i="1"/>
  <c r="T9" i="1"/>
  <c r="U9" i="1" s="1"/>
  <c r="J8" i="1"/>
  <c r="T8" i="1"/>
  <c r="U8" i="1" s="1"/>
  <c r="P7" i="1"/>
  <c r="I6" i="1"/>
  <c r="J6" i="1" s="1"/>
  <c r="T6" i="1"/>
  <c r="U6" i="1" s="1"/>
  <c r="W35" i="1"/>
  <c r="V26" i="1" l="1"/>
  <c r="Y26" i="1" s="1"/>
  <c r="V25" i="1"/>
  <c r="Y25" i="1" s="1"/>
  <c r="V18" i="1"/>
  <c r="Y18" i="1" s="1"/>
  <c r="V19" i="1"/>
  <c r="Y19" i="1" s="1"/>
  <c r="V12" i="1"/>
  <c r="Y12" i="1" s="1"/>
  <c r="V11" i="1"/>
  <c r="Y11" i="1" s="1"/>
  <c r="V5" i="1"/>
  <c r="Y5" i="1" s="1"/>
  <c r="V29" i="1"/>
  <c r="Y29" i="1" s="1"/>
  <c r="V22" i="1"/>
  <c r="Y22" i="1" s="1"/>
  <c r="V23" i="1"/>
  <c r="Y23" i="1" s="1"/>
  <c r="V14" i="1"/>
  <c r="Y14" i="1" s="1"/>
  <c r="V20" i="1"/>
  <c r="Y20" i="1" s="1"/>
  <c r="V15" i="1"/>
  <c r="Y15" i="1" s="1"/>
  <c r="V27" i="1"/>
  <c r="Y27" i="1" s="1"/>
  <c r="V21" i="1"/>
  <c r="Y21" i="1" s="1"/>
  <c r="Y32" i="1"/>
  <c r="V31" i="1"/>
  <c r="Y31" i="1" s="1"/>
  <c r="V28" i="1"/>
  <c r="Y28" i="1" s="1"/>
  <c r="V17" i="1"/>
  <c r="Y17" i="1" s="1"/>
  <c r="Y33" i="1"/>
  <c r="V30" i="1"/>
  <c r="Y30" i="1" s="1"/>
  <c r="V16" i="1"/>
  <c r="Y16" i="1" s="1"/>
  <c r="V13" i="1"/>
  <c r="Y13" i="1" s="1"/>
  <c r="Q35" i="1"/>
  <c r="V9" i="1"/>
  <c r="Y9" i="1" s="1"/>
  <c r="V8" i="1"/>
  <c r="Y8" i="1" s="1"/>
  <c r="V6" i="1"/>
  <c r="Y6" i="1" s="1"/>
  <c r="U4" i="1"/>
  <c r="U35" i="1" s="1"/>
  <c r="T35" i="1"/>
  <c r="Y4" i="1"/>
  <c r="X35" i="1"/>
  <c r="V24" i="1"/>
  <c r="Y24" i="1" s="1"/>
  <c r="V10" i="1"/>
  <c r="Y10" i="1" s="1"/>
  <c r="V7" i="1"/>
  <c r="Y7" i="1" s="1"/>
  <c r="Y35" i="1" l="1"/>
  <c r="Y36" i="1" s="1"/>
  <c r="V35" i="1"/>
</calcChain>
</file>

<file path=xl/comments1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comments2.xml><?xml version="1.0" encoding="utf-8"?>
<comments xmlns="http://schemas.openxmlformats.org/spreadsheetml/2006/main">
  <authors>
    <author>4000097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manual or automatic by click insert time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Just display only</t>
        </r>
      </text>
    </comment>
    <comment ref="Y35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minute</t>
        </r>
      </text>
    </comment>
    <comment ref="Y36" authorId="0">
      <text>
        <r>
          <rPr>
            <b/>
            <sz val="9"/>
            <color indexed="81"/>
            <rFont val="Tahoma"/>
            <family val="2"/>
          </rPr>
          <t>4000097:</t>
        </r>
        <r>
          <rPr>
            <sz val="9"/>
            <color indexed="81"/>
            <rFont val="Tahoma"/>
            <family val="2"/>
          </rPr>
          <t xml:space="preserve">
Hours</t>
        </r>
      </text>
    </comment>
  </commentList>
</comments>
</file>

<file path=xl/sharedStrings.xml><?xml version="1.0" encoding="utf-8"?>
<sst xmlns="http://schemas.openxmlformats.org/spreadsheetml/2006/main" count="110" uniqueCount="29">
  <si>
    <t>date</t>
  </si>
  <si>
    <t>Name</t>
  </si>
  <si>
    <t>Time in</t>
  </si>
  <si>
    <t>Time out</t>
  </si>
  <si>
    <t>Hour</t>
  </si>
  <si>
    <t>Minute</t>
  </si>
  <si>
    <t>Round</t>
  </si>
  <si>
    <t>Total minute</t>
  </si>
  <si>
    <t>Is working day</t>
  </si>
  <si>
    <t>Weekday</t>
  </si>
  <si>
    <t>Extra time</t>
  </si>
  <si>
    <t>Time in (for calculate)</t>
  </si>
  <si>
    <t>Time out (for calculate)</t>
  </si>
  <si>
    <t>Hour after round</t>
  </si>
  <si>
    <t>Start CoreTime</t>
  </si>
  <si>
    <t>End CoreTime</t>
  </si>
  <si>
    <t>Automatic</t>
  </si>
  <si>
    <t>Minute after Round</t>
  </si>
  <si>
    <t>From .txt file</t>
  </si>
  <si>
    <t>Late CheckPoint</t>
  </si>
  <si>
    <t>late type</t>
  </si>
  <si>
    <t>soon checkpoint</t>
  </si>
  <si>
    <t>Late/Soon penaty time</t>
  </si>
  <si>
    <t>Late/Soon times</t>
  </si>
  <si>
    <t>Require time</t>
  </si>
  <si>
    <t>Total raw time</t>
  </si>
  <si>
    <t>4000001, Nguyen Thi Van</t>
  </si>
  <si>
    <t>From .txt file</t>
    <phoneticPr fontId="11"/>
  </si>
  <si>
    <t>Dang Huy Duong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</si>
</sst>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12">
    <font>
      <sz val="11"/>
      <color theme="1"/>
      <name val="游ゴシック"/>
      <family val="2"/>
      <scheme val="minor"/>
    </font>
    <font>
      <sz val="11"/>
      <color rgb="FF006100"/>
      <name val="游ゴシック"/>
      <family val="2"/>
      <scheme val="minor"/>
    </font>
    <font>
      <sz val="11"/>
      <color theme="1"/>
      <name val="游ゴシック"/>
      <family val="2"/>
      <scheme val="minor"/>
    </font>
    <font>
      <b/>
      <sz val="11"/>
      <color rgb="FFFA7D00"/>
      <name val="游ゴシック"/>
      <family val="2"/>
      <scheme val="minor"/>
    </font>
    <font>
      <sz val="11"/>
      <color rgb="FFFF0000"/>
      <name val="游ゴシック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000000"/>
      <name val="Calibri"/>
      <family val="2"/>
    </font>
    <font>
      <sz val="8"/>
      <color rgb="FF000000"/>
      <name val="Segoe UI"/>
      <family val="2"/>
    </font>
    <font>
      <sz val="11"/>
      <color theme="0"/>
      <name val="游ゴシック"/>
      <family val="2"/>
      <scheme val="minor"/>
    </font>
    <font>
      <b/>
      <sz val="11"/>
      <color rgb="FFFF0000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theme="5" tint="0.39997558519241921"/>
        <bgColor indexed="6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4" borderId="0" applyNumberFormat="0" applyBorder="0" applyAlignment="0" applyProtection="0"/>
    <xf numFmtId="0" fontId="3" fillId="5" borderId="2" applyNumberFormat="0" applyAlignment="0" applyProtection="0"/>
    <xf numFmtId="0" fontId="2" fillId="6" borderId="3" applyNumberFormat="0" applyFont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</cellStyleXfs>
  <cellXfs count="76">
    <xf numFmtId="0" fontId="0" fillId="0" borderId="0" xfId="0"/>
    <xf numFmtId="20" fontId="0" fillId="0" borderId="0" xfId="0" applyNumberFormat="1"/>
    <xf numFmtId="0" fontId="0" fillId="0" borderId="0" xfId="0" applyAlignment="1">
      <alignment horizontal="left"/>
    </xf>
    <xf numFmtId="0" fontId="0" fillId="3" borderId="0" xfId="0" applyFill="1"/>
    <xf numFmtId="14" fontId="0" fillId="0" borderId="0" xfId="0" applyNumberFormat="1" applyAlignment="1">
      <alignment horizontal="left"/>
    </xf>
    <xf numFmtId="0" fontId="0" fillId="0" borderId="1" xfId="0" applyBorder="1"/>
    <xf numFmtId="20" fontId="0" fillId="0" borderId="1" xfId="0" applyNumberFormat="1" applyBorder="1"/>
    <xf numFmtId="0" fontId="0" fillId="2" borderId="1" xfId="0" applyFill="1" applyBorder="1"/>
    <xf numFmtId="176" fontId="0" fillId="2" borderId="1" xfId="0" applyNumberFormat="1" applyFill="1" applyBorder="1"/>
    <xf numFmtId="1" fontId="0" fillId="2" borderId="1" xfId="0" applyNumberFormat="1" applyFill="1" applyBorder="1"/>
    <xf numFmtId="0" fontId="1" fillId="4" borderId="1" xfId="1" applyBorder="1"/>
    <xf numFmtId="0" fontId="0" fillId="2" borderId="1" xfId="0" applyNumberFormat="1" applyFill="1" applyBorder="1"/>
    <xf numFmtId="0" fontId="0" fillId="6" borderId="1" xfId="3" applyFont="1" applyBorder="1"/>
    <xf numFmtId="0" fontId="1" fillId="4" borderId="5" xfId="1" applyBorder="1"/>
    <xf numFmtId="0" fontId="1" fillId="4" borderId="5" xfId="1" applyBorder="1" applyAlignment="1">
      <alignment horizontal="left"/>
    </xf>
    <xf numFmtId="0" fontId="0" fillId="2" borderId="9" xfId="0" applyNumberFormat="1" applyFill="1" applyBorder="1"/>
    <xf numFmtId="0" fontId="0" fillId="2" borderId="9" xfId="0" applyFill="1" applyBorder="1"/>
    <xf numFmtId="0" fontId="0" fillId="2" borderId="1" xfId="0" applyFill="1" applyBorder="1" applyAlignment="1">
      <alignment horizontal="left"/>
    </xf>
    <xf numFmtId="20" fontId="0" fillId="2" borderId="1" xfId="0" applyNumberFormat="1" applyFill="1" applyBorder="1"/>
    <xf numFmtId="0" fontId="0" fillId="0" borderId="1" xfId="0" applyBorder="1" applyAlignment="1">
      <alignment horizontal="left"/>
    </xf>
    <xf numFmtId="0" fontId="0" fillId="2" borderId="10" xfId="0" applyFill="1" applyBorder="1"/>
    <xf numFmtId="1" fontId="0" fillId="2" borderId="11" xfId="0" applyNumberFormat="1" applyFill="1" applyBorder="1"/>
    <xf numFmtId="1" fontId="0" fillId="0" borderId="5" xfId="0" applyNumberFormat="1" applyBorder="1"/>
    <xf numFmtId="0" fontId="0" fillId="6" borderId="12" xfId="3" applyFont="1" applyBorder="1"/>
    <xf numFmtId="0" fontId="0" fillId="0" borderId="10" xfId="0" applyBorder="1"/>
    <xf numFmtId="0" fontId="0" fillId="0" borderId="11" xfId="0" applyBorder="1"/>
    <xf numFmtId="1" fontId="4" fillId="7" borderId="9" xfId="1" applyNumberFormat="1" applyFont="1" applyFill="1" applyBorder="1"/>
    <xf numFmtId="0" fontId="0" fillId="2" borderId="13" xfId="0" applyFill="1" applyBorder="1"/>
    <xf numFmtId="0" fontId="0" fillId="2" borderId="14" xfId="0" applyFill="1" applyBorder="1" applyAlignment="1">
      <alignment horizontal="left"/>
    </xf>
    <xf numFmtId="0" fontId="0" fillId="2" borderId="14" xfId="0" applyFill="1" applyBorder="1"/>
    <xf numFmtId="0" fontId="0" fillId="2" borderId="15" xfId="0" applyFill="1" applyBorder="1"/>
    <xf numFmtId="0" fontId="0" fillId="0" borderId="0" xfId="0" applyBorder="1"/>
    <xf numFmtId="0" fontId="0" fillId="2" borderId="16" xfId="0" applyFill="1" applyBorder="1"/>
    <xf numFmtId="0" fontId="0" fillId="0" borderId="17" xfId="0" applyBorder="1"/>
    <xf numFmtId="0" fontId="0" fillId="2" borderId="17" xfId="0" applyFill="1" applyBorder="1"/>
    <xf numFmtId="0" fontId="0" fillId="2" borderId="18" xfId="0" applyFill="1" applyBorder="1"/>
    <xf numFmtId="14" fontId="0" fillId="2" borderId="0" xfId="0" applyNumberFormat="1" applyFill="1" applyBorder="1" applyAlignment="1">
      <alignment horizontal="left"/>
    </xf>
    <xf numFmtId="20" fontId="0" fillId="2" borderId="0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16" xfId="0" applyBorder="1"/>
    <xf numFmtId="0" fontId="0" fillId="2" borderId="21" xfId="0" applyFill="1" applyBorder="1"/>
    <xf numFmtId="0" fontId="0" fillId="2" borderId="19" xfId="0" applyFill="1" applyBorder="1"/>
    <xf numFmtId="14" fontId="0" fillId="2" borderId="20" xfId="0" applyNumberFormat="1" applyFill="1" applyBorder="1" applyAlignment="1">
      <alignment horizontal="left"/>
    </xf>
    <xf numFmtId="20" fontId="0" fillId="2" borderId="20" xfId="0" applyNumberFormat="1" applyFill="1" applyBorder="1"/>
    <xf numFmtId="0" fontId="0" fillId="2" borderId="20" xfId="0" applyFill="1" applyBorder="1"/>
    <xf numFmtId="0" fontId="0" fillId="2" borderId="20" xfId="0" applyFill="1" applyBorder="1" applyAlignment="1">
      <alignment horizontal="left"/>
    </xf>
    <xf numFmtId="14" fontId="0" fillId="2" borderId="14" xfId="0" applyNumberFormat="1" applyFill="1" applyBorder="1" applyAlignment="1">
      <alignment horizontal="left"/>
    </xf>
    <xf numFmtId="20" fontId="0" fillId="2" borderId="14" xfId="0" applyNumberFormat="1" applyFill="1" applyBorder="1"/>
    <xf numFmtId="20" fontId="0" fillId="2" borderId="16" xfId="0" applyNumberFormat="1" applyFill="1" applyBorder="1"/>
    <xf numFmtId="14" fontId="0" fillId="0" borderId="1" xfId="0" applyNumberFormat="1" applyBorder="1" applyAlignment="1">
      <alignment horizontal="left"/>
    </xf>
    <xf numFmtId="0" fontId="0" fillId="0" borderId="0" xfId="0"/>
    <xf numFmtId="20" fontId="0" fillId="0" borderId="0" xfId="0" applyNumberFormat="1"/>
    <xf numFmtId="14" fontId="0" fillId="0" borderId="0" xfId="0" applyNumberFormat="1" applyAlignment="1">
      <alignment horizontal="left"/>
    </xf>
    <xf numFmtId="20" fontId="0" fillId="0" borderId="1" xfId="0" applyNumberFormat="1" applyBorder="1"/>
    <xf numFmtId="1" fontId="0" fillId="2" borderId="1" xfId="0" applyNumberFormat="1" applyFill="1" applyBorder="1"/>
    <xf numFmtId="14" fontId="0" fillId="2" borderId="1" xfId="0" applyNumberFormat="1" applyFill="1" applyBorder="1" applyAlignment="1">
      <alignment horizontal="left"/>
    </xf>
    <xf numFmtId="0" fontId="4" fillId="4" borderId="5" xfId="1" applyFont="1" applyBorder="1"/>
    <xf numFmtId="0" fontId="4" fillId="4" borderId="5" xfId="1" applyFont="1" applyBorder="1" applyAlignment="1">
      <alignment horizontal="left"/>
    </xf>
    <xf numFmtId="0" fontId="1" fillId="4" borderId="5" xfId="1" applyBorder="1"/>
    <xf numFmtId="1" fontId="0" fillId="2" borderId="9" xfId="0" applyNumberFormat="1" applyFill="1" applyBorder="1"/>
    <xf numFmtId="1" fontId="4" fillId="4" borderId="4" xfId="1" applyNumberFormat="1" applyFont="1" applyBorder="1"/>
    <xf numFmtId="0" fontId="0" fillId="0" borderId="11" xfId="0" applyBorder="1"/>
    <xf numFmtId="1" fontId="3" fillId="5" borderId="2" xfId="2" applyNumberFormat="1"/>
    <xf numFmtId="1" fontId="9" fillId="8" borderId="1" xfId="4" applyNumberFormat="1" applyBorder="1"/>
    <xf numFmtId="1" fontId="4" fillId="4" borderId="8" xfId="1" applyNumberFormat="1" applyFont="1" applyBorder="1"/>
    <xf numFmtId="1" fontId="9" fillId="9" borderId="1" xfId="5" applyNumberFormat="1" applyBorder="1"/>
    <xf numFmtId="1" fontId="9" fillId="8" borderId="4" xfId="4" applyNumberFormat="1" applyBorder="1"/>
    <xf numFmtId="2" fontId="10" fillId="7" borderId="4" xfId="1" applyNumberFormat="1" applyFont="1" applyFill="1" applyBorder="1"/>
    <xf numFmtId="14" fontId="9" fillId="0" borderId="0" xfId="0" applyNumberFormat="1" applyFont="1"/>
    <xf numFmtId="0" fontId="3" fillId="5" borderId="6" xfId="2" applyBorder="1" applyAlignment="1">
      <alignment horizontal="center"/>
    </xf>
    <xf numFmtId="0" fontId="3" fillId="5" borderId="7" xfId="2" applyBorder="1" applyAlignment="1">
      <alignment horizontal="center"/>
    </xf>
    <xf numFmtId="0" fontId="3" fillId="5" borderId="8" xfId="2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6">
    <cellStyle name="60% - Accent2" xfId="5" builtinId="36"/>
    <cellStyle name="Accent1" xfId="4" builtinId="29"/>
    <cellStyle name="Calculation" xfId="2" builtinId="22"/>
    <cellStyle name="Good" xfId="1" builtinId="26"/>
    <cellStyle name="Normal" xfId="0" builtinId="0"/>
    <cellStyle name="Note" xfId="3" builtinId="10"/>
  </cellStyles>
  <dxfs count="8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361950</xdr:colOff>
          <xdr:row>0</xdr:row>
          <xdr:rowOff>590550</xdr:rowOff>
        </xdr:from>
        <xdr:to>
          <xdr:col>25</xdr:col>
          <xdr:colOff>752475</xdr:colOff>
          <xdr:row>0</xdr:row>
          <xdr:rowOff>1000125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Insert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85725</xdr:rowOff>
        </xdr:from>
        <xdr:to>
          <xdr:col>2</xdr:col>
          <xdr:colOff>495300</xdr:colOff>
          <xdr:row>0</xdr:row>
          <xdr:rowOff>390525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619125</xdr:rowOff>
        </xdr:from>
        <xdr:to>
          <xdr:col>0</xdr:col>
          <xdr:colOff>3048000</xdr:colOff>
          <xdr:row>0</xdr:row>
          <xdr:rowOff>895350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47625</xdr:rowOff>
        </xdr:from>
        <xdr:to>
          <xdr:col>0</xdr:col>
          <xdr:colOff>828675</xdr:colOff>
          <xdr:row>0</xdr:row>
          <xdr:rowOff>200025</xdr:rowOff>
        </xdr:to>
        <xdr:sp macro="" textlink="">
          <xdr:nvSpPr>
            <xdr:cNvPr id="1029" name="Path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Path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590550</xdr:rowOff>
        </xdr:from>
        <xdr:to>
          <xdr:col>0</xdr:col>
          <xdr:colOff>800100</xdr:colOff>
          <xdr:row>0</xdr:row>
          <xdr:rowOff>742950</xdr:rowOff>
        </xdr:to>
        <xdr:sp macro="" textlink="">
          <xdr:nvSpPr>
            <xdr:cNvPr id="1030" name="Pat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93"/>
  <sheetViews>
    <sheetView tabSelected="1" zoomScale="85" zoomScaleNormal="85" workbookViewId="0">
      <selection activeCell="E33" sqref="E33"/>
    </sheetView>
  </sheetViews>
  <sheetFormatPr defaultRowHeight="14.25"/>
  <cols>
    <col min="1" max="1" width="44.125" customWidth="1"/>
    <col min="2" max="2" width="13.75" style="2" customWidth="1"/>
    <col min="3" max="3" width="12.75" bestFit="1" customWidth="1"/>
    <col min="5" max="5" width="14.625" bestFit="1" customWidth="1"/>
    <col min="6" max="6" width="9.75" hidden="1" customWidth="1"/>
    <col min="7" max="7" width="9.125" hidden="1" customWidth="1"/>
    <col min="8" max="8" width="17.625" hidden="1" customWidth="1"/>
    <col min="9" max="9" width="15.875" hidden="1" customWidth="1"/>
    <col min="10" max="10" width="21.875" bestFit="1" customWidth="1"/>
    <col min="11" max="12" width="14.25" customWidth="1"/>
    <col min="13" max="15" width="9.125" customWidth="1"/>
    <col min="16" max="16" width="22" bestFit="1" customWidth="1"/>
    <col min="17" max="17" width="16.25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bestFit="1" customWidth="1"/>
    <col min="23" max="23" width="14.375" customWidth="1"/>
    <col min="24" max="24" width="13.125" bestFit="1" customWidth="1"/>
    <col min="25" max="25" width="10" bestFit="1" customWidth="1"/>
    <col min="26" max="26" width="11.375" style="2" bestFit="1" customWidth="1"/>
    <col min="28" max="28" width="9.875" bestFit="1" customWidth="1"/>
  </cols>
  <sheetData>
    <row r="1" spans="1:28" ht="90.75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3" t="s">
        <v>18</v>
      </c>
      <c r="B2" s="74"/>
      <c r="C2" s="74"/>
      <c r="D2" s="74"/>
      <c r="E2" s="75"/>
      <c r="F2" s="31"/>
      <c r="G2" s="31"/>
      <c r="H2" s="31"/>
      <c r="I2" s="31"/>
      <c r="J2" s="70" t="s">
        <v>16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2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13" t="s">
        <v>11</v>
      </c>
      <c r="K3" s="13" t="s">
        <v>14</v>
      </c>
      <c r="L3" s="13" t="s">
        <v>15</v>
      </c>
      <c r="M3" s="13" t="s">
        <v>4</v>
      </c>
      <c r="N3" s="13" t="s">
        <v>5</v>
      </c>
      <c r="O3" s="13" t="s">
        <v>6</v>
      </c>
      <c r="P3" s="13" t="s">
        <v>12</v>
      </c>
      <c r="Q3" s="13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13" t="s">
        <v>7</v>
      </c>
      <c r="W3" s="13" t="s">
        <v>8</v>
      </c>
      <c r="X3" s="13" t="s">
        <v>24</v>
      </c>
      <c r="Y3" s="13" t="s">
        <v>10</v>
      </c>
      <c r="Z3" s="14" t="s">
        <v>9</v>
      </c>
      <c r="AA3" s="49"/>
      <c r="AB3" s="69">
        <f ca="1">TODAY()</f>
        <v>42976</v>
      </c>
    </row>
    <row r="4" spans="1:28" s="3" customFormat="1" ht="15">
      <c r="A4" s="33" t="s">
        <v>28</v>
      </c>
      <c r="B4" s="50">
        <v>42948</v>
      </c>
      <c r="C4" s="54">
        <v>0</v>
      </c>
      <c r="D4" s="6">
        <v>0</v>
      </c>
      <c r="E4" s="6">
        <v>0</v>
      </c>
      <c r="F4" s="11">
        <f xml:space="preserve"> HOUR(C4)</f>
        <v>0</v>
      </c>
      <c r="G4" s="7">
        <f>MINUTE(C4)</f>
        <v>0</v>
      </c>
      <c r="H4" s="7">
        <f t="shared" ref="H4:H6" si="0" xml:space="preserve"> IF(MOD(G4,5) = 0, QUOTIENT(G4/5,1)*5, (QUOTIENT(G4/5,1) + 1)*5)</f>
        <v>0</v>
      </c>
      <c r="I4" s="7">
        <f xml:space="preserve"> IF(G4&lt;=55, F4, F4+1)</f>
        <v>0</v>
      </c>
      <c r="J4" s="8">
        <f t="shared" ref="J4:J5" si="1" xml:space="preserve"> IF(G4&gt;55,TIME(I4,0,0),TIME(F4,H4,0))</f>
        <v>0</v>
      </c>
      <c r="K4" s="8">
        <v>0.375</v>
      </c>
      <c r="L4" s="8">
        <v>0.66666666666666663</v>
      </c>
      <c r="M4" s="7">
        <f t="shared" ref="M4:M33" si="2" xml:space="preserve"> HOUR(D4)</f>
        <v>0</v>
      </c>
      <c r="N4" s="7">
        <f t="shared" ref="N4:N33" si="3">MINUTE(D4)</f>
        <v>0</v>
      </c>
      <c r="O4" s="7">
        <f xml:space="preserve"> QUOTIENT(N4/5,1)*5</f>
        <v>0</v>
      </c>
      <c r="P4" s="8">
        <f t="shared" ref="P4:P33" si="4" xml:space="preserve"> TIME(M4,O4,0)</f>
        <v>0</v>
      </c>
      <c r="Q4" s="66">
        <f t="shared" ref="Q4:Q33" si="5">(IF(C4&gt;K4, 1,0 ) + IF(D4&lt;L4, 1,0 ))*W4</f>
        <v>0</v>
      </c>
      <c r="R4" s="49">
        <v>0.38541666666666669</v>
      </c>
      <c r="S4" s="37">
        <v>0.65625</v>
      </c>
      <c r="T4" s="60">
        <f t="shared" ref="T4:T33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0</v>
      </c>
      <c r="W4" s="7">
        <f t="shared" ref="W4:W34" si="8" xml:space="preserve"> IF(C4&gt;0, 1,0)</f>
        <v>0</v>
      </c>
      <c r="X4" s="12">
        <f xml:space="preserve"> IF(W4=0, 0, 8.5*60)</f>
        <v>0</v>
      </c>
      <c r="Y4" s="55">
        <f t="shared" ref="Y4:Y5" si="9">V4-X4</f>
        <v>0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28</v>
      </c>
      <c r="B5" s="50">
        <v>42949</v>
      </c>
      <c r="C5" s="54">
        <v>0.35138888888888892</v>
      </c>
      <c r="D5" s="54">
        <v>0.81111111111111101</v>
      </c>
      <c r="E5" s="54">
        <v>0.4597222222222222</v>
      </c>
      <c r="F5" s="11">
        <f t="shared" ref="F5:F34" si="10" xml:space="preserve"> HOUR(C5)</f>
        <v>8</v>
      </c>
      <c r="G5" s="7">
        <f t="shared" ref="G5:G17" si="11" xml:space="preserve"> MINUTE(C5)</f>
        <v>26</v>
      </c>
      <c r="H5" s="7">
        <f t="shared" si="0"/>
        <v>30</v>
      </c>
      <c r="I5" s="7">
        <f t="shared" ref="I5:I34" si="12" xml:space="preserve"> IF(G5&lt;=55, F5, F5+1)</f>
        <v>8</v>
      </c>
      <c r="J5" s="8">
        <f t="shared" si="1"/>
        <v>0.35416666666666669</v>
      </c>
      <c r="K5" s="8">
        <v>0.375</v>
      </c>
      <c r="L5" s="8">
        <v>0.66666666666666663</v>
      </c>
      <c r="M5" s="7">
        <f t="shared" si="2"/>
        <v>19</v>
      </c>
      <c r="N5" s="7">
        <f t="shared" si="3"/>
        <v>28</v>
      </c>
      <c r="O5" s="7">
        <f t="shared" ref="O5:O33" si="13" xml:space="preserve"> QUOTIENT(N5/5,1)*5</f>
        <v>25</v>
      </c>
      <c r="P5" s="8">
        <f t="shared" si="4"/>
        <v>0.80902777777777779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595</v>
      </c>
      <c r="W5" s="7">
        <f t="shared" si="8"/>
        <v>1</v>
      </c>
      <c r="X5" s="12">
        <f t="shared" ref="X5:X17" si="15" xml:space="preserve"> IF(W5=0, 0, 8.5*60)</f>
        <v>510</v>
      </c>
      <c r="Y5" s="55">
        <f t="shared" si="9"/>
        <v>85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28</v>
      </c>
      <c r="B6" s="50">
        <v>42950</v>
      </c>
      <c r="C6" s="54">
        <v>0.3527777777777778</v>
      </c>
      <c r="D6" s="54">
        <v>0.66875000000000007</v>
      </c>
      <c r="E6" s="54">
        <v>0.31597222222222221</v>
      </c>
      <c r="F6" s="11">
        <f t="shared" si="10"/>
        <v>8</v>
      </c>
      <c r="G6" s="7">
        <f t="shared" si="11"/>
        <v>28</v>
      </c>
      <c r="H6" s="7">
        <f t="shared" si="0"/>
        <v>30</v>
      </c>
      <c r="I6" s="7">
        <f t="shared" si="12"/>
        <v>8</v>
      </c>
      <c r="J6" s="8">
        <f xml:space="preserve"> IF(G6&gt;55,TIME(I6,0,0),TIME(F6,H6,0))</f>
        <v>0.35416666666666669</v>
      </c>
      <c r="K6" s="8">
        <v>0.375</v>
      </c>
      <c r="L6" s="8">
        <v>0.66666666666666663</v>
      </c>
      <c r="M6" s="7">
        <f t="shared" si="2"/>
        <v>16</v>
      </c>
      <c r="N6" s="7">
        <f t="shared" si="3"/>
        <v>3</v>
      </c>
      <c r="O6" s="7">
        <f t="shared" si="13"/>
        <v>0</v>
      </c>
      <c r="P6" s="8">
        <f t="shared" si="4"/>
        <v>0.66666666666666663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390</v>
      </c>
      <c r="W6" s="7">
        <f t="shared" si="8"/>
        <v>1</v>
      </c>
      <c r="X6" s="12">
        <f t="shared" si="15"/>
        <v>510</v>
      </c>
      <c r="Y6" s="9">
        <f>V6-X6</f>
        <v>-120</v>
      </c>
      <c r="Z6" s="56" t="str">
        <f t="shared" si="16"/>
        <v>Thursday</v>
      </c>
      <c r="AA6" s="32"/>
    </row>
    <row r="7" spans="1:28" s="3" customFormat="1" ht="15">
      <c r="A7" s="33" t="s">
        <v>28</v>
      </c>
      <c r="B7" s="50">
        <v>42951</v>
      </c>
      <c r="C7" s="54">
        <v>0.36319444444444443</v>
      </c>
      <c r="D7" s="54">
        <v>0.72222222222222221</v>
      </c>
      <c r="E7" s="54">
        <v>0.35902777777777778</v>
      </c>
      <c r="F7" s="11">
        <f t="shared" si="10"/>
        <v>8</v>
      </c>
      <c r="G7" s="7">
        <f t="shared" si="11"/>
        <v>43</v>
      </c>
      <c r="H7" s="7">
        <f xml:space="preserve"> IF(MOD(G7,5) = 0, QUOTIENT(G7/5,1)*5, (QUOTIENT(G7/5,1) + 1)*5)</f>
        <v>45</v>
      </c>
      <c r="I7" s="7">
        <f t="shared" si="12"/>
        <v>8</v>
      </c>
      <c r="J7" s="8">
        <f t="shared" ref="J7:J33" si="17" xml:space="preserve"> IF(G7&gt;55,TIME(I7,0,0),TIME(F7,H7,0))</f>
        <v>0.36458333333333331</v>
      </c>
      <c r="K7" s="8">
        <v>0.375</v>
      </c>
      <c r="L7" s="8">
        <v>0.66666666666666663</v>
      </c>
      <c r="M7" s="7">
        <f t="shared" si="2"/>
        <v>17</v>
      </c>
      <c r="N7" s="7">
        <f t="shared" si="3"/>
        <v>20</v>
      </c>
      <c r="O7" s="7">
        <f t="shared" si="13"/>
        <v>20</v>
      </c>
      <c r="P7" s="8">
        <f t="shared" si="4"/>
        <v>0.72222222222222221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455</v>
      </c>
      <c r="W7" s="7">
        <f t="shared" si="8"/>
        <v>1</v>
      </c>
      <c r="X7" s="12">
        <f t="shared" si="15"/>
        <v>510</v>
      </c>
      <c r="Y7" s="55">
        <f t="shared" ref="Y7:Y34" si="18">V7-X7</f>
        <v>-55</v>
      </c>
      <c r="Z7" s="56" t="str">
        <f t="shared" si="16"/>
        <v>Friday</v>
      </c>
      <c r="AA7" s="32"/>
    </row>
    <row r="8" spans="1:28" s="3" customFormat="1" ht="15">
      <c r="A8" s="33" t="s">
        <v>28</v>
      </c>
      <c r="B8" s="50">
        <v>42952</v>
      </c>
      <c r="C8" s="54">
        <v>0</v>
      </c>
      <c r="D8" s="54">
        <v>0</v>
      </c>
      <c r="E8" s="54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28</v>
      </c>
      <c r="B9" s="50">
        <v>42953</v>
      </c>
      <c r="C9" s="54">
        <v>0</v>
      </c>
      <c r="D9" s="54">
        <v>0</v>
      </c>
      <c r="E9" s="54">
        <v>0</v>
      </c>
      <c r="F9" s="11">
        <f t="shared" si="10"/>
        <v>0</v>
      </c>
      <c r="G9" s="7">
        <f t="shared" si="11"/>
        <v>0</v>
      </c>
      <c r="H9" s="7">
        <f t="shared" si="19"/>
        <v>0</v>
      </c>
      <c r="I9" s="7">
        <f t="shared" si="12"/>
        <v>0</v>
      </c>
      <c r="J9" s="8">
        <f t="shared" si="17"/>
        <v>0</v>
      </c>
      <c r="K9" s="8">
        <v>0.375</v>
      </c>
      <c r="L9" s="8">
        <v>0.66666666666666696</v>
      </c>
      <c r="M9" s="7">
        <f t="shared" si="2"/>
        <v>0</v>
      </c>
      <c r="N9" s="7">
        <f t="shared" si="3"/>
        <v>0</v>
      </c>
      <c r="O9" s="7">
        <f t="shared" si="13"/>
        <v>0</v>
      </c>
      <c r="P9" s="8">
        <f t="shared" si="4"/>
        <v>0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0</v>
      </c>
      <c r="W9" s="7">
        <f t="shared" si="8"/>
        <v>0</v>
      </c>
      <c r="X9" s="12">
        <f t="shared" si="15"/>
        <v>0</v>
      </c>
      <c r="Y9" s="55">
        <f t="shared" si="18"/>
        <v>0</v>
      </c>
      <c r="Z9" s="56" t="str">
        <f t="shared" si="16"/>
        <v>Sunday</v>
      </c>
      <c r="AA9" s="32"/>
    </row>
    <row r="10" spans="1:28" s="3" customFormat="1" ht="15">
      <c r="A10" s="33" t="s">
        <v>28</v>
      </c>
      <c r="B10" s="50">
        <v>42954</v>
      </c>
      <c r="C10" s="54">
        <v>0.36944444444444446</v>
      </c>
      <c r="D10" s="54">
        <v>0.76111111111111107</v>
      </c>
      <c r="E10" s="54">
        <v>0.39166666666666666</v>
      </c>
      <c r="F10" s="11">
        <f t="shared" si="10"/>
        <v>8</v>
      </c>
      <c r="G10" s="7">
        <f t="shared" si="11"/>
        <v>52</v>
      </c>
      <c r="H10" s="7">
        <f t="shared" si="19"/>
        <v>55</v>
      </c>
      <c r="I10" s="7">
        <f t="shared" si="12"/>
        <v>8</v>
      </c>
      <c r="J10" s="8">
        <f t="shared" si="17"/>
        <v>0.37152777777777773</v>
      </c>
      <c r="K10" s="8">
        <v>0.375</v>
      </c>
      <c r="L10" s="8">
        <v>0.66666666666666696</v>
      </c>
      <c r="M10" s="7">
        <f t="shared" si="2"/>
        <v>18</v>
      </c>
      <c r="N10" s="7">
        <f t="shared" si="3"/>
        <v>16</v>
      </c>
      <c r="O10" s="7">
        <f t="shared" si="13"/>
        <v>15</v>
      </c>
      <c r="P10" s="8">
        <f t="shared" si="4"/>
        <v>0.76041666666666663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500</v>
      </c>
      <c r="W10" s="7">
        <f t="shared" si="8"/>
        <v>1</v>
      </c>
      <c r="X10" s="12">
        <f t="shared" si="15"/>
        <v>510</v>
      </c>
      <c r="Y10" s="55">
        <f t="shared" si="18"/>
        <v>-10</v>
      </c>
      <c r="Z10" s="56" t="str">
        <f t="shared" si="16"/>
        <v>Monday</v>
      </c>
      <c r="AA10" s="32"/>
    </row>
    <row r="11" spans="1:28" s="3" customFormat="1" ht="15">
      <c r="A11" s="33" t="s">
        <v>28</v>
      </c>
      <c r="B11" s="50">
        <v>42955</v>
      </c>
      <c r="C11" s="54">
        <v>0.35416666666666669</v>
      </c>
      <c r="D11" s="54">
        <v>0.8569444444444444</v>
      </c>
      <c r="E11" s="54">
        <v>0.50277777777777777</v>
      </c>
      <c r="F11" s="11">
        <f t="shared" si="10"/>
        <v>8</v>
      </c>
      <c r="G11" s="7">
        <f t="shared" si="11"/>
        <v>30</v>
      </c>
      <c r="H11" s="7">
        <f t="shared" si="19"/>
        <v>30</v>
      </c>
      <c r="I11" s="7">
        <f t="shared" si="12"/>
        <v>8</v>
      </c>
      <c r="J11" s="8">
        <f t="shared" si="17"/>
        <v>0.35416666666666669</v>
      </c>
      <c r="K11" s="8">
        <v>0.375</v>
      </c>
      <c r="L11" s="8">
        <v>0.66666666666666696</v>
      </c>
      <c r="M11" s="7">
        <f t="shared" si="2"/>
        <v>20</v>
      </c>
      <c r="N11" s="7">
        <f t="shared" si="3"/>
        <v>34</v>
      </c>
      <c r="O11" s="7">
        <f t="shared" si="13"/>
        <v>30</v>
      </c>
      <c r="P11" s="8">
        <f t="shared" si="4"/>
        <v>0.85416666666666663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660</v>
      </c>
      <c r="W11" s="7">
        <f t="shared" si="8"/>
        <v>1</v>
      </c>
      <c r="X11" s="12">
        <f t="shared" si="15"/>
        <v>510</v>
      </c>
      <c r="Y11" s="55">
        <f t="shared" si="18"/>
        <v>150</v>
      </c>
      <c r="Z11" s="56" t="str">
        <f t="shared" si="16"/>
        <v>Tuesday</v>
      </c>
      <c r="AA11" s="32"/>
    </row>
    <row r="12" spans="1:28" s="3" customFormat="1" ht="15">
      <c r="A12" s="33" t="s">
        <v>28</v>
      </c>
      <c r="B12" s="50">
        <v>42956</v>
      </c>
      <c r="C12" s="54">
        <v>0.35902777777777778</v>
      </c>
      <c r="D12" s="54">
        <v>0.75277777777777777</v>
      </c>
      <c r="E12" s="54">
        <v>0.39374999999999999</v>
      </c>
      <c r="F12" s="11">
        <f t="shared" si="10"/>
        <v>8</v>
      </c>
      <c r="G12" s="7">
        <f t="shared" si="11"/>
        <v>37</v>
      </c>
      <c r="H12" s="7">
        <f t="shared" si="19"/>
        <v>40</v>
      </c>
      <c r="I12" s="7">
        <f t="shared" si="12"/>
        <v>8</v>
      </c>
      <c r="J12" s="8">
        <f t="shared" si="17"/>
        <v>0.3611111111111111</v>
      </c>
      <c r="K12" s="8">
        <v>0.375</v>
      </c>
      <c r="L12" s="8">
        <v>0.66666666666666696</v>
      </c>
      <c r="M12" s="7">
        <f t="shared" si="2"/>
        <v>18</v>
      </c>
      <c r="N12" s="7">
        <f t="shared" si="3"/>
        <v>4</v>
      </c>
      <c r="O12" s="7">
        <f t="shared" si="13"/>
        <v>0</v>
      </c>
      <c r="P12" s="8">
        <f t="shared" si="4"/>
        <v>0.75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500</v>
      </c>
      <c r="W12" s="7">
        <f t="shared" si="8"/>
        <v>1</v>
      </c>
      <c r="X12" s="12">
        <f t="shared" si="15"/>
        <v>510</v>
      </c>
      <c r="Y12" s="55">
        <f t="shared" si="18"/>
        <v>-10</v>
      </c>
      <c r="Z12" s="56" t="str">
        <f t="shared" si="16"/>
        <v>Wednesday</v>
      </c>
      <c r="AA12" s="32"/>
    </row>
    <row r="13" spans="1:28" s="3" customFormat="1" ht="15">
      <c r="A13" s="33" t="s">
        <v>28</v>
      </c>
      <c r="B13" s="50">
        <v>42957</v>
      </c>
      <c r="C13" s="54">
        <v>0.34027777777777773</v>
      </c>
      <c r="D13" s="54">
        <v>0.73055555555555562</v>
      </c>
      <c r="E13" s="54">
        <v>0.38958333333333334</v>
      </c>
      <c r="F13" s="11">
        <f t="shared" si="10"/>
        <v>8</v>
      </c>
      <c r="G13" s="7">
        <f t="shared" si="11"/>
        <v>10</v>
      </c>
      <c r="H13" s="7">
        <f t="shared" si="19"/>
        <v>10</v>
      </c>
      <c r="I13" s="7">
        <f xml:space="preserve"> IF(G13&lt;=55, F13, F13+1)</f>
        <v>8</v>
      </c>
      <c r="J13" s="8">
        <f t="shared" si="17"/>
        <v>0.34027777777777773</v>
      </c>
      <c r="K13" s="8">
        <v>0.375</v>
      </c>
      <c r="L13" s="8">
        <v>0.66666666666666696</v>
      </c>
      <c r="M13" s="7">
        <f t="shared" si="2"/>
        <v>17</v>
      </c>
      <c r="N13" s="7">
        <f t="shared" si="3"/>
        <v>32</v>
      </c>
      <c r="O13" s="7">
        <f t="shared" si="13"/>
        <v>30</v>
      </c>
      <c r="P13" s="8">
        <f t="shared" si="4"/>
        <v>0.72916666666666663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500</v>
      </c>
      <c r="W13" s="7">
        <f t="shared" si="8"/>
        <v>1</v>
      </c>
      <c r="X13" s="12">
        <f t="shared" si="15"/>
        <v>510</v>
      </c>
      <c r="Y13" s="55">
        <f t="shared" si="18"/>
        <v>-10</v>
      </c>
      <c r="Z13" s="56" t="str">
        <f t="shared" si="16"/>
        <v>Thursday</v>
      </c>
      <c r="AA13" s="32"/>
    </row>
    <row r="14" spans="1:28" s="3" customFormat="1" ht="15">
      <c r="A14" s="33" t="s">
        <v>28</v>
      </c>
      <c r="B14" s="50">
        <v>42958</v>
      </c>
      <c r="C14" s="54">
        <v>0</v>
      </c>
      <c r="D14" s="54">
        <v>0</v>
      </c>
      <c r="E14" s="54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28</v>
      </c>
      <c r="B15" s="50">
        <v>42959</v>
      </c>
      <c r="C15" s="54">
        <v>0</v>
      </c>
      <c r="D15" s="54">
        <v>0</v>
      </c>
      <c r="E15" s="54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28</v>
      </c>
      <c r="B16" s="50">
        <v>42960</v>
      </c>
      <c r="C16" s="54">
        <v>0</v>
      </c>
      <c r="D16" s="54">
        <v>0</v>
      </c>
      <c r="E16" s="54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28</v>
      </c>
      <c r="B17" s="50">
        <v>42961</v>
      </c>
      <c r="C17" s="54">
        <v>0.36527777777777781</v>
      </c>
      <c r="D17" s="54">
        <v>0.74583333333333324</v>
      </c>
      <c r="E17" s="54">
        <v>0.37986111111111115</v>
      </c>
      <c r="F17" s="11">
        <f t="shared" si="10"/>
        <v>8</v>
      </c>
      <c r="G17" s="7">
        <f t="shared" si="11"/>
        <v>46</v>
      </c>
      <c r="H17" s="7">
        <f t="shared" si="19"/>
        <v>50</v>
      </c>
      <c r="I17" s="7">
        <f t="shared" si="12"/>
        <v>8</v>
      </c>
      <c r="J17" s="8">
        <f t="shared" si="17"/>
        <v>0.36805555555555558</v>
      </c>
      <c r="K17" s="8">
        <v>0.375</v>
      </c>
      <c r="L17" s="8">
        <v>0.66666666666666696</v>
      </c>
      <c r="M17" s="7">
        <f t="shared" si="2"/>
        <v>17</v>
      </c>
      <c r="N17" s="7">
        <f t="shared" si="3"/>
        <v>54</v>
      </c>
      <c r="O17" s="7">
        <f t="shared" si="13"/>
        <v>50</v>
      </c>
      <c r="P17" s="8">
        <f t="shared" si="4"/>
        <v>0.74305555555555547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480</v>
      </c>
      <c r="W17" s="7">
        <f t="shared" si="8"/>
        <v>1</v>
      </c>
      <c r="X17" s="12">
        <f t="shared" si="15"/>
        <v>510</v>
      </c>
      <c r="Y17" s="55">
        <f t="shared" si="18"/>
        <v>-30</v>
      </c>
      <c r="Z17" s="56" t="str">
        <f t="shared" si="16"/>
        <v>Monday</v>
      </c>
      <c r="AA17" s="32"/>
    </row>
    <row r="18" spans="1:27" ht="15">
      <c r="A18" s="33" t="s">
        <v>28</v>
      </c>
      <c r="B18" s="50">
        <v>42962</v>
      </c>
      <c r="C18" s="54">
        <v>0.36180555555555555</v>
      </c>
      <c r="D18" s="54">
        <v>0.78541666666666676</v>
      </c>
      <c r="E18" s="54">
        <v>0.4236111111111111</v>
      </c>
      <c r="F18" s="11">
        <f t="shared" si="10"/>
        <v>8</v>
      </c>
      <c r="G18" s="7">
        <f t="shared" ref="G18:G34" si="20" xml:space="preserve"> MINUTE(C18)</f>
        <v>41</v>
      </c>
      <c r="H18" s="7">
        <f t="shared" si="19"/>
        <v>45</v>
      </c>
      <c r="I18" s="7">
        <f t="shared" si="12"/>
        <v>8</v>
      </c>
      <c r="J18" s="8">
        <f t="shared" si="17"/>
        <v>0.36458333333333331</v>
      </c>
      <c r="K18" s="8">
        <v>0.375</v>
      </c>
      <c r="L18" s="8">
        <v>0.66666666666666696</v>
      </c>
      <c r="M18" s="7">
        <f t="shared" si="2"/>
        <v>18</v>
      </c>
      <c r="N18" s="7">
        <f t="shared" si="3"/>
        <v>51</v>
      </c>
      <c r="O18" s="7">
        <f t="shared" si="13"/>
        <v>50</v>
      </c>
      <c r="P18" s="8">
        <f t="shared" si="4"/>
        <v>0.78472222222222221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545</v>
      </c>
      <c r="W18" s="7">
        <f t="shared" si="8"/>
        <v>1</v>
      </c>
      <c r="X18" s="12">
        <f t="shared" ref="X18:X19" si="21" xml:space="preserve"> IF(W18=0, 0, 8.5*60)</f>
        <v>510</v>
      </c>
      <c r="Y18" s="55">
        <f t="shared" si="18"/>
        <v>35</v>
      </c>
      <c r="Z18" s="56" t="str">
        <f t="shared" si="16"/>
        <v>Tuesday</v>
      </c>
      <c r="AA18" s="32"/>
    </row>
    <row r="19" spans="1:27" ht="15">
      <c r="A19" s="33" t="s">
        <v>28</v>
      </c>
      <c r="B19" s="50">
        <v>42963</v>
      </c>
      <c r="C19" s="54">
        <v>0.36249999999999999</v>
      </c>
      <c r="D19" s="54">
        <v>0.79722222222222217</v>
      </c>
      <c r="E19" s="54">
        <v>0.43402777777777773</v>
      </c>
      <c r="F19" s="11">
        <f t="shared" si="10"/>
        <v>8</v>
      </c>
      <c r="G19" s="7">
        <f t="shared" si="20"/>
        <v>42</v>
      </c>
      <c r="H19" s="7">
        <f t="shared" si="19"/>
        <v>45</v>
      </c>
      <c r="I19" s="7">
        <f t="shared" si="12"/>
        <v>8</v>
      </c>
      <c r="J19" s="8">
        <f t="shared" si="17"/>
        <v>0.36458333333333331</v>
      </c>
      <c r="K19" s="8">
        <v>0.375</v>
      </c>
      <c r="L19" s="8">
        <v>0.66666666666666696</v>
      </c>
      <c r="M19" s="7">
        <f t="shared" si="2"/>
        <v>19</v>
      </c>
      <c r="N19" s="7">
        <f t="shared" si="3"/>
        <v>8</v>
      </c>
      <c r="O19" s="7">
        <f t="shared" si="13"/>
        <v>5</v>
      </c>
      <c r="P19" s="8">
        <f t="shared" si="4"/>
        <v>0.79513888888888884</v>
      </c>
      <c r="Q19" s="66">
        <f t="shared" si="5"/>
        <v>0</v>
      </c>
      <c r="R19" s="49">
        <v>0.38541666666666669</v>
      </c>
      <c r="S19" s="37">
        <v>0.65625</v>
      </c>
      <c r="T19" s="60">
        <f t="shared" si="6"/>
        <v>0</v>
      </c>
      <c r="U19" s="63">
        <f t="shared" si="14"/>
        <v>0</v>
      </c>
      <c r="V19" s="64">
        <f t="shared" si="7"/>
        <v>560</v>
      </c>
      <c r="W19" s="7">
        <f t="shared" si="8"/>
        <v>1</v>
      </c>
      <c r="X19" s="12">
        <f t="shared" si="21"/>
        <v>510</v>
      </c>
      <c r="Y19" s="55">
        <f t="shared" si="18"/>
        <v>50</v>
      </c>
      <c r="Z19" s="56" t="str">
        <f t="shared" si="16"/>
        <v>Wednesday</v>
      </c>
      <c r="AA19" s="32"/>
    </row>
    <row r="20" spans="1:27" ht="15">
      <c r="A20" s="33" t="s">
        <v>28</v>
      </c>
      <c r="B20" s="50">
        <v>42964</v>
      </c>
      <c r="C20" s="54">
        <v>0.37083333333333335</v>
      </c>
      <c r="D20" s="54">
        <v>0.81180555555555556</v>
      </c>
      <c r="E20" s="54">
        <v>0.44027777777777777</v>
      </c>
      <c r="F20" s="11">
        <f t="shared" si="10"/>
        <v>8</v>
      </c>
      <c r="G20" s="7">
        <f t="shared" ref="G20:G33" si="22" xml:space="preserve"> MINUTE(C20)</f>
        <v>54</v>
      </c>
      <c r="H20" s="7">
        <f t="shared" si="19"/>
        <v>55</v>
      </c>
      <c r="I20" s="7">
        <f t="shared" si="12"/>
        <v>8</v>
      </c>
      <c r="J20" s="8">
        <f t="shared" si="17"/>
        <v>0.37152777777777773</v>
      </c>
      <c r="K20" s="8">
        <v>0.375</v>
      </c>
      <c r="L20" s="8">
        <v>0.66666666666666696</v>
      </c>
      <c r="M20" s="7">
        <f t="shared" si="2"/>
        <v>19</v>
      </c>
      <c r="N20" s="7">
        <f t="shared" si="3"/>
        <v>29</v>
      </c>
      <c r="O20" s="7">
        <f t="shared" si="13"/>
        <v>25</v>
      </c>
      <c r="P20" s="8">
        <f t="shared" si="4"/>
        <v>0.80902777777777779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570</v>
      </c>
      <c r="W20" s="7">
        <f t="shared" si="8"/>
        <v>1</v>
      </c>
      <c r="X20" s="12">
        <f t="shared" ref="X20:X34" si="23" xml:space="preserve"> IF(W20=0, 0, 8.5*60)</f>
        <v>510</v>
      </c>
      <c r="Y20" s="55">
        <f t="shared" si="18"/>
        <v>60</v>
      </c>
      <c r="Z20" s="56" t="str">
        <f t="shared" si="16"/>
        <v>Thursday</v>
      </c>
      <c r="AA20" s="32"/>
    </row>
    <row r="21" spans="1:27" ht="15">
      <c r="A21" s="33" t="s">
        <v>28</v>
      </c>
      <c r="B21" s="50">
        <v>42965</v>
      </c>
      <c r="C21" s="54">
        <v>0.35833333333333334</v>
      </c>
      <c r="D21" s="54">
        <v>0.80902777777777779</v>
      </c>
      <c r="E21" s="54">
        <v>0.45</v>
      </c>
      <c r="F21" s="11">
        <f t="shared" si="10"/>
        <v>8</v>
      </c>
      <c r="G21" s="7">
        <f t="shared" si="22"/>
        <v>36</v>
      </c>
      <c r="H21" s="7">
        <f t="shared" si="19"/>
        <v>40</v>
      </c>
      <c r="I21" s="7">
        <f t="shared" si="12"/>
        <v>8</v>
      </c>
      <c r="J21" s="8">
        <f t="shared" si="17"/>
        <v>0.3611111111111111</v>
      </c>
      <c r="K21" s="8">
        <v>0.375</v>
      </c>
      <c r="L21" s="8">
        <v>0.66666666666666696</v>
      </c>
      <c r="M21" s="7">
        <f t="shared" si="2"/>
        <v>19</v>
      </c>
      <c r="N21" s="7">
        <f t="shared" si="3"/>
        <v>25</v>
      </c>
      <c r="O21" s="7">
        <f t="shared" si="13"/>
        <v>25</v>
      </c>
      <c r="P21" s="8">
        <f t="shared" si="4"/>
        <v>0.80902777777777779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585</v>
      </c>
      <c r="W21" s="7">
        <f t="shared" si="8"/>
        <v>1</v>
      </c>
      <c r="X21" s="12">
        <f t="shared" si="23"/>
        <v>510</v>
      </c>
      <c r="Y21" s="55">
        <f t="shared" si="18"/>
        <v>75</v>
      </c>
      <c r="Z21" s="56" t="str">
        <f t="shared" si="16"/>
        <v>Friday</v>
      </c>
      <c r="AA21" s="32"/>
    </row>
    <row r="22" spans="1:27" ht="15">
      <c r="A22" s="33" t="s">
        <v>28</v>
      </c>
      <c r="B22" s="50">
        <v>42966</v>
      </c>
      <c r="C22" s="54">
        <v>0</v>
      </c>
      <c r="D22" s="54">
        <v>0</v>
      </c>
      <c r="E22" s="54">
        <v>0</v>
      </c>
      <c r="F22" s="11">
        <f t="shared" si="10"/>
        <v>0</v>
      </c>
      <c r="G22" s="7">
        <f t="shared" si="22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23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28</v>
      </c>
      <c r="B23" s="50">
        <v>42967</v>
      </c>
      <c r="C23" s="54">
        <v>0</v>
      </c>
      <c r="D23" s="54">
        <v>0</v>
      </c>
      <c r="E23" s="54">
        <v>0</v>
      </c>
      <c r="F23" s="11">
        <f t="shared" si="10"/>
        <v>0</v>
      </c>
      <c r="G23" s="7">
        <f t="shared" si="22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23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28</v>
      </c>
      <c r="B24" s="50">
        <v>42968</v>
      </c>
      <c r="C24" s="54">
        <v>0.35416666666666669</v>
      </c>
      <c r="D24" s="54">
        <v>0.79375000000000007</v>
      </c>
      <c r="E24" s="54">
        <v>0.43888888888888888</v>
      </c>
      <c r="F24" s="11">
        <f t="shared" si="10"/>
        <v>8</v>
      </c>
      <c r="G24" s="7">
        <f t="shared" si="22"/>
        <v>30</v>
      </c>
      <c r="H24" s="7">
        <f t="shared" si="19"/>
        <v>30</v>
      </c>
      <c r="I24" s="7">
        <f t="shared" si="12"/>
        <v>8</v>
      </c>
      <c r="J24" s="8">
        <f t="shared" si="17"/>
        <v>0.35416666666666669</v>
      </c>
      <c r="K24" s="8">
        <v>0.375</v>
      </c>
      <c r="L24" s="8">
        <v>0.66666666666666696</v>
      </c>
      <c r="M24" s="7">
        <f t="shared" si="2"/>
        <v>19</v>
      </c>
      <c r="N24" s="7">
        <f t="shared" si="3"/>
        <v>3</v>
      </c>
      <c r="O24" s="7">
        <f t="shared" si="13"/>
        <v>0</v>
      </c>
      <c r="P24" s="8">
        <f t="shared" si="4"/>
        <v>0.79166666666666663</v>
      </c>
      <c r="Q24" s="66">
        <f t="shared" si="5"/>
        <v>0</v>
      </c>
      <c r="R24" s="49">
        <v>0.38541666666666669</v>
      </c>
      <c r="S24" s="37">
        <v>0.65625</v>
      </c>
      <c r="T24" s="60">
        <f t="shared" si="6"/>
        <v>0</v>
      </c>
      <c r="U24" s="63">
        <f t="shared" si="14"/>
        <v>0</v>
      </c>
      <c r="V24" s="64">
        <f t="shared" si="7"/>
        <v>570</v>
      </c>
      <c r="W24" s="7">
        <f t="shared" si="8"/>
        <v>1</v>
      </c>
      <c r="X24" s="12">
        <f t="shared" si="23"/>
        <v>510</v>
      </c>
      <c r="Y24" s="55">
        <f t="shared" si="18"/>
        <v>60</v>
      </c>
      <c r="Z24" s="56" t="str">
        <f t="shared" si="16"/>
        <v>Monday</v>
      </c>
      <c r="AA24" s="32"/>
    </row>
    <row r="25" spans="1:27" ht="15">
      <c r="A25" s="33" t="s">
        <v>28</v>
      </c>
      <c r="B25" s="50">
        <v>42969</v>
      </c>
      <c r="C25" s="54">
        <v>0.35069444444444442</v>
      </c>
      <c r="D25" s="54">
        <v>0.78680555555555554</v>
      </c>
      <c r="E25" s="54">
        <v>0.43541666666666662</v>
      </c>
      <c r="F25" s="11">
        <f t="shared" si="10"/>
        <v>8</v>
      </c>
      <c r="G25" s="7">
        <f t="shared" si="22"/>
        <v>25</v>
      </c>
      <c r="H25" s="7">
        <f t="shared" si="19"/>
        <v>25</v>
      </c>
      <c r="I25" s="7">
        <f t="shared" si="12"/>
        <v>8</v>
      </c>
      <c r="J25" s="8">
        <f t="shared" si="17"/>
        <v>0.35069444444444442</v>
      </c>
      <c r="K25" s="8">
        <v>0.375</v>
      </c>
      <c r="L25" s="8">
        <v>0.66666666666666696</v>
      </c>
      <c r="M25" s="7">
        <f t="shared" si="2"/>
        <v>18</v>
      </c>
      <c r="N25" s="7">
        <f t="shared" si="3"/>
        <v>53</v>
      </c>
      <c r="O25" s="7">
        <f t="shared" si="13"/>
        <v>50</v>
      </c>
      <c r="P25" s="8">
        <f t="shared" si="4"/>
        <v>0.78472222222222221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565</v>
      </c>
      <c r="W25" s="7">
        <f t="shared" si="8"/>
        <v>1</v>
      </c>
      <c r="X25" s="12">
        <f t="shared" si="23"/>
        <v>510</v>
      </c>
      <c r="Y25" s="55">
        <f t="shared" si="18"/>
        <v>55</v>
      </c>
      <c r="Z25" s="56" t="str">
        <f t="shared" si="16"/>
        <v>Tuesday</v>
      </c>
      <c r="AA25" s="32"/>
    </row>
    <row r="26" spans="1:27" ht="15">
      <c r="A26" s="33" t="s">
        <v>28</v>
      </c>
      <c r="B26" s="50">
        <v>42970</v>
      </c>
      <c r="C26" s="54">
        <v>0.35069444444444442</v>
      </c>
      <c r="D26" s="54">
        <v>0.75</v>
      </c>
      <c r="E26" s="54">
        <v>1.3888888888888889E-3</v>
      </c>
      <c r="F26" s="11">
        <f t="shared" si="10"/>
        <v>8</v>
      </c>
      <c r="G26" s="7">
        <f t="shared" si="22"/>
        <v>25</v>
      </c>
      <c r="H26" s="7">
        <f t="shared" si="19"/>
        <v>25</v>
      </c>
      <c r="I26" s="7">
        <f t="shared" si="12"/>
        <v>8</v>
      </c>
      <c r="J26" s="8">
        <f t="shared" si="17"/>
        <v>0.35069444444444442</v>
      </c>
      <c r="K26" s="8">
        <v>0.375</v>
      </c>
      <c r="L26" s="8">
        <v>0.66666666666666696</v>
      </c>
      <c r="M26" s="7">
        <f t="shared" si="2"/>
        <v>18</v>
      </c>
      <c r="N26" s="7">
        <f t="shared" si="3"/>
        <v>0</v>
      </c>
      <c r="O26" s="7">
        <f t="shared" si="13"/>
        <v>0</v>
      </c>
      <c r="P26" s="8">
        <f t="shared" si="4"/>
        <v>0.75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515</v>
      </c>
      <c r="W26" s="7">
        <f t="shared" si="8"/>
        <v>1</v>
      </c>
      <c r="X26" s="12">
        <f t="shared" si="23"/>
        <v>510</v>
      </c>
      <c r="Y26" s="55">
        <f t="shared" si="18"/>
        <v>5</v>
      </c>
      <c r="Z26" s="56" t="str">
        <f t="shared" si="16"/>
        <v>Wednesday</v>
      </c>
      <c r="AA26" s="32"/>
    </row>
    <row r="27" spans="1:27" ht="15">
      <c r="A27" s="33"/>
      <c r="B27" s="50"/>
      <c r="C27" s="54"/>
      <c r="D27" s="54"/>
      <c r="E27" s="54"/>
      <c r="F27" s="11">
        <f t="shared" si="10"/>
        <v>0</v>
      </c>
      <c r="G27" s="7">
        <f t="shared" si="22"/>
        <v>0</v>
      </c>
      <c r="H27" s="7">
        <f t="shared" si="19"/>
        <v>0</v>
      </c>
      <c r="I27" s="7">
        <f t="shared" si="12"/>
        <v>0</v>
      </c>
      <c r="J27" s="8">
        <f t="shared" si="17"/>
        <v>0</v>
      </c>
      <c r="K27" s="8">
        <v>0.375</v>
      </c>
      <c r="L27" s="8">
        <v>0.66666666666666696</v>
      </c>
      <c r="M27" s="7">
        <f t="shared" si="2"/>
        <v>0</v>
      </c>
      <c r="N27" s="7">
        <f t="shared" si="3"/>
        <v>0</v>
      </c>
      <c r="O27" s="7">
        <f t="shared" si="13"/>
        <v>0</v>
      </c>
      <c r="P27" s="8">
        <f t="shared" si="4"/>
        <v>0</v>
      </c>
      <c r="Q27" s="66">
        <f t="shared" si="5"/>
        <v>0</v>
      </c>
      <c r="R27" s="49">
        <v>0.38541666666666669</v>
      </c>
      <c r="S27" s="37">
        <v>0.65625</v>
      </c>
      <c r="T27" s="60">
        <f t="shared" si="6"/>
        <v>0</v>
      </c>
      <c r="U27" s="63">
        <f t="shared" si="14"/>
        <v>0</v>
      </c>
      <c r="V27" s="64">
        <f t="shared" si="7"/>
        <v>0</v>
      </c>
      <c r="W27" s="7">
        <f t="shared" si="8"/>
        <v>0</v>
      </c>
      <c r="X27" s="12">
        <f t="shared" si="23"/>
        <v>0</v>
      </c>
      <c r="Y27" s="55">
        <f t="shared" si="18"/>
        <v>0</v>
      </c>
      <c r="Z27" s="56" t="str">
        <f t="shared" si="16"/>
        <v/>
      </c>
      <c r="AA27" s="32"/>
    </row>
    <row r="28" spans="1:27" ht="15">
      <c r="A28" s="33"/>
      <c r="B28" s="50"/>
      <c r="C28" s="54"/>
      <c r="D28" s="54"/>
      <c r="E28" s="54"/>
      <c r="F28" s="11">
        <f t="shared" si="10"/>
        <v>0</v>
      </c>
      <c r="G28" s="7">
        <f t="shared" si="22"/>
        <v>0</v>
      </c>
      <c r="H28" s="7">
        <f t="shared" si="19"/>
        <v>0</v>
      </c>
      <c r="I28" s="7">
        <f t="shared" si="12"/>
        <v>0</v>
      </c>
      <c r="J28" s="8">
        <f t="shared" si="17"/>
        <v>0</v>
      </c>
      <c r="K28" s="8">
        <v>0.375</v>
      </c>
      <c r="L28" s="8">
        <v>0.66666666666666696</v>
      </c>
      <c r="M28" s="7">
        <f t="shared" si="2"/>
        <v>0</v>
      </c>
      <c r="N28" s="7">
        <f t="shared" si="3"/>
        <v>0</v>
      </c>
      <c r="O28" s="7">
        <f t="shared" si="13"/>
        <v>0</v>
      </c>
      <c r="P28" s="8">
        <f t="shared" si="4"/>
        <v>0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0</v>
      </c>
      <c r="W28" s="7">
        <f t="shared" si="8"/>
        <v>0</v>
      </c>
      <c r="X28" s="12">
        <f t="shared" si="23"/>
        <v>0</v>
      </c>
      <c r="Y28" s="55">
        <f t="shared" si="18"/>
        <v>0</v>
      </c>
      <c r="Z28" s="56" t="str">
        <f t="shared" si="16"/>
        <v/>
      </c>
      <c r="AA28" s="32"/>
    </row>
    <row r="29" spans="1:27" ht="15">
      <c r="A29" s="33"/>
      <c r="B29" s="50"/>
      <c r="C29" s="54"/>
      <c r="D29" s="54"/>
      <c r="E29" s="54"/>
      <c r="F29" s="11">
        <f t="shared" si="10"/>
        <v>0</v>
      </c>
      <c r="G29" s="7">
        <f t="shared" si="22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23"/>
        <v>0</v>
      </c>
      <c r="Y29" s="55">
        <f t="shared" si="18"/>
        <v>0</v>
      </c>
      <c r="Z29" s="56" t="str">
        <f t="shared" si="16"/>
        <v/>
      </c>
      <c r="AA29" s="32"/>
    </row>
    <row r="30" spans="1:27" ht="15">
      <c r="A30" s="33"/>
      <c r="B30" s="50"/>
      <c r="C30" s="54"/>
      <c r="D30" s="54"/>
      <c r="E30" s="54"/>
      <c r="F30" s="11">
        <f t="shared" si="10"/>
        <v>0</v>
      </c>
      <c r="G30" s="7">
        <f t="shared" si="22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23"/>
        <v>0</v>
      </c>
      <c r="Y30" s="55">
        <f t="shared" si="18"/>
        <v>0</v>
      </c>
      <c r="Z30" s="56" t="str">
        <f t="shared" si="16"/>
        <v/>
      </c>
      <c r="AA30" s="32"/>
    </row>
    <row r="31" spans="1:27" ht="15">
      <c r="A31" s="33"/>
      <c r="B31" s="50"/>
      <c r="C31" s="54"/>
      <c r="D31" s="54"/>
      <c r="E31" s="54"/>
      <c r="F31" s="11">
        <f t="shared" si="10"/>
        <v>0</v>
      </c>
      <c r="G31" s="7">
        <f t="shared" si="22"/>
        <v>0</v>
      </c>
      <c r="H31" s="7">
        <f t="shared" si="19"/>
        <v>0</v>
      </c>
      <c r="I31" s="7">
        <f t="shared" si="12"/>
        <v>0</v>
      </c>
      <c r="J31" s="8">
        <f t="shared" si="17"/>
        <v>0</v>
      </c>
      <c r="K31" s="8">
        <v>0.375</v>
      </c>
      <c r="L31" s="8">
        <v>0.66666666666666696</v>
      </c>
      <c r="M31" s="7">
        <f t="shared" si="2"/>
        <v>0</v>
      </c>
      <c r="N31" s="7">
        <f t="shared" si="3"/>
        <v>0</v>
      </c>
      <c r="O31" s="7">
        <f t="shared" si="13"/>
        <v>0</v>
      </c>
      <c r="P31" s="8">
        <f t="shared" si="4"/>
        <v>0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0</v>
      </c>
      <c r="W31" s="7">
        <f t="shared" si="8"/>
        <v>0</v>
      </c>
      <c r="X31" s="12">
        <f t="shared" si="23"/>
        <v>0</v>
      </c>
      <c r="Y31" s="55">
        <f t="shared" si="18"/>
        <v>0</v>
      </c>
      <c r="Z31" s="56" t="str">
        <f t="shared" si="16"/>
        <v/>
      </c>
      <c r="AA31" s="32"/>
    </row>
    <row r="32" spans="1:27" ht="15">
      <c r="A32" s="33"/>
      <c r="B32" s="50"/>
      <c r="C32" s="54"/>
      <c r="D32" s="54"/>
      <c r="E32" s="54"/>
      <c r="F32" s="11">
        <f t="shared" si="10"/>
        <v>0</v>
      </c>
      <c r="G32" s="7">
        <f t="shared" si="22"/>
        <v>0</v>
      </c>
      <c r="H32" s="7">
        <f t="shared" si="19"/>
        <v>0</v>
      </c>
      <c r="I32" s="7">
        <f t="shared" si="12"/>
        <v>0</v>
      </c>
      <c r="J32" s="8">
        <f t="shared" si="17"/>
        <v>0</v>
      </c>
      <c r="K32" s="8">
        <v>0.375</v>
      </c>
      <c r="L32" s="8">
        <v>0.66666666666666696</v>
      </c>
      <c r="M32" s="7">
        <f t="shared" si="2"/>
        <v>0</v>
      </c>
      <c r="N32" s="7">
        <f t="shared" si="3"/>
        <v>0</v>
      </c>
      <c r="O32" s="7">
        <f t="shared" si="13"/>
        <v>0</v>
      </c>
      <c r="P32" s="8">
        <f t="shared" si="4"/>
        <v>0</v>
      </c>
      <c r="Q32" s="66">
        <f t="shared" si="5"/>
        <v>0</v>
      </c>
      <c r="R32" s="49">
        <v>0.38541666666666669</v>
      </c>
      <c r="S32" s="37">
        <v>0.65625</v>
      </c>
      <c r="T32" s="60">
        <f t="shared" si="6"/>
        <v>0</v>
      </c>
      <c r="U32" s="63">
        <f t="shared" si="14"/>
        <v>0</v>
      </c>
      <c r="V32" s="64">
        <f t="shared" si="7"/>
        <v>0</v>
      </c>
      <c r="W32" s="7">
        <f t="shared" si="8"/>
        <v>0</v>
      </c>
      <c r="X32" s="12">
        <f t="shared" si="23"/>
        <v>0</v>
      </c>
      <c r="Y32" s="55">
        <f t="shared" si="18"/>
        <v>0</v>
      </c>
      <c r="Z32" s="56" t="str">
        <f t="shared" si="16"/>
        <v/>
      </c>
      <c r="AA32" s="32"/>
    </row>
    <row r="33" spans="1:27" ht="15">
      <c r="A33" s="33"/>
      <c r="B33" s="50"/>
      <c r="C33" s="54"/>
      <c r="D33" s="54"/>
      <c r="E33" s="54"/>
      <c r="F33" s="11">
        <f t="shared" si="10"/>
        <v>0</v>
      </c>
      <c r="G33" s="7">
        <f t="shared" si="22"/>
        <v>0</v>
      </c>
      <c r="H33" s="7">
        <f t="shared" si="19"/>
        <v>0</v>
      </c>
      <c r="I33" s="7">
        <f t="shared" si="12"/>
        <v>0</v>
      </c>
      <c r="J33" s="8">
        <f t="shared" si="17"/>
        <v>0</v>
      </c>
      <c r="K33" s="8">
        <v>0.375</v>
      </c>
      <c r="L33" s="8">
        <v>0.66666666666666696</v>
      </c>
      <c r="M33" s="7">
        <f t="shared" si="2"/>
        <v>0</v>
      </c>
      <c r="N33" s="7">
        <f t="shared" si="3"/>
        <v>0</v>
      </c>
      <c r="O33" s="7">
        <f t="shared" si="13"/>
        <v>0</v>
      </c>
      <c r="P33" s="8">
        <f t="shared" si="4"/>
        <v>0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0</v>
      </c>
      <c r="W33" s="7">
        <f t="shared" si="8"/>
        <v>0</v>
      </c>
      <c r="X33" s="12">
        <f t="shared" si="23"/>
        <v>0</v>
      </c>
      <c r="Y33" s="55">
        <f t="shared" si="18"/>
        <v>0</v>
      </c>
      <c r="Z33" s="56" t="str">
        <f t="shared" si="16"/>
        <v/>
      </c>
      <c r="AA33" s="32"/>
    </row>
    <row r="34" spans="1:27" ht="15.75" thickBot="1">
      <c r="A34" s="33"/>
      <c r="B34" s="50"/>
      <c r="C34" s="54"/>
      <c r="D34" s="54"/>
      <c r="E34" s="54"/>
      <c r="F34" s="15">
        <f t="shared" si="10"/>
        <v>0</v>
      </c>
      <c r="G34" s="16">
        <f t="shared" si="20"/>
        <v>0</v>
      </c>
      <c r="H34" s="7">
        <f t="shared" si="19"/>
        <v>0</v>
      </c>
      <c r="I34" s="16">
        <f t="shared" si="12"/>
        <v>0</v>
      </c>
      <c r="J34" s="8">
        <f t="shared" ref="J34" si="24" xml:space="preserve"> IF(G34&gt;55,TIME(I34,0,0),TIME(F34,H34,0))</f>
        <v>0</v>
      </c>
      <c r="K34" s="8">
        <v>0.375</v>
      </c>
      <c r="L34" s="8">
        <v>0.66666666666666696</v>
      </c>
      <c r="M34" s="7">
        <f t="shared" ref="M34" si="25" xml:space="preserve"> HOUR(D34)</f>
        <v>0</v>
      </c>
      <c r="N34" s="7">
        <f t="shared" ref="N34" si="26">MINUTE(D34)</f>
        <v>0</v>
      </c>
      <c r="O34" s="7">
        <f t="shared" ref="O34" si="27" xml:space="preserve"> QUOTIENT(N34/5,1)*5</f>
        <v>0</v>
      </c>
      <c r="P34" s="8">
        <f t="shared" ref="P34" si="28" xml:space="preserve"> TIME(M34,O34,0)</f>
        <v>0</v>
      </c>
      <c r="Q34" s="66">
        <f t="shared" ref="Q34" si="29">(IF(C34&gt;K34, 1,0 ) + IF(D34&lt;L34, 1,0 ))*W34</f>
        <v>0</v>
      </c>
      <c r="R34" s="49">
        <v>0.38541666666666669</v>
      </c>
      <c r="S34" s="37">
        <v>0.65625</v>
      </c>
      <c r="T34" s="60">
        <f t="shared" ref="T34" si="30">(IF(C34&gt;R34,2,1)*IF(C34&gt;K34, 1,0 ) + IF(D34&lt;S34,2,1)*IF(D34&lt;L34,1,0))*IF(W34=0,0,1)</f>
        <v>0</v>
      </c>
      <c r="U34" s="63">
        <f t="shared" si="14"/>
        <v>0</v>
      </c>
      <c r="V34" s="64">
        <f t="shared" si="7"/>
        <v>0</v>
      </c>
      <c r="W34" s="7">
        <f t="shared" si="8"/>
        <v>0</v>
      </c>
      <c r="X34" s="12">
        <f t="shared" si="23"/>
        <v>0</v>
      </c>
      <c r="Y34" s="55">
        <f t="shared" si="18"/>
        <v>0</v>
      </c>
      <c r="Z34" s="56" t="str">
        <f t="shared" si="16"/>
        <v/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31" xml:space="preserve"> SUM(Q4:Q34)</f>
        <v>0</v>
      </c>
      <c r="R35" s="65">
        <f t="shared" si="31"/>
        <v>11.947916666666663</v>
      </c>
      <c r="S35" s="61">
        <f t="shared" si="31"/>
        <v>20.34375</v>
      </c>
      <c r="T35" s="61">
        <f t="shared" si="31"/>
        <v>0</v>
      </c>
      <c r="U35" s="61">
        <f xml:space="preserve"> SUM(U4:U34)</f>
        <v>0</v>
      </c>
      <c r="V35" s="67">
        <f xml:space="preserve"> SUM(V4:V34)</f>
        <v>7990</v>
      </c>
      <c r="W35" s="21">
        <f xml:space="preserve"> SUM(W4:W34)</f>
        <v>15</v>
      </c>
      <c r="X35" s="23">
        <f xml:space="preserve"> SUM(X4:X34)</f>
        <v>7650</v>
      </c>
      <c r="Y35" s="26">
        <f>SUM(Y4:Y34)-U35</f>
        <v>340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25"/>
      <c r="R36" s="62"/>
      <c r="S36" s="62"/>
      <c r="T36" s="62"/>
      <c r="U36" s="62"/>
      <c r="V36" s="22"/>
      <c r="W36" s="5"/>
      <c r="X36" s="24"/>
      <c r="Y36" s="68">
        <f>Y35/60</f>
        <v>5.666666666666667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4"/>
      <c r="C40" s="1"/>
      <c r="D40" s="1"/>
      <c r="E40" s="1"/>
      <c r="F40" s="1"/>
    </row>
    <row r="41" spans="1:27">
      <c r="B41" s="4"/>
      <c r="C41" s="1"/>
      <c r="D41" s="1"/>
      <c r="E41" s="1"/>
      <c r="F41" s="1"/>
    </row>
    <row r="42" spans="1:27">
      <c r="B42" s="4"/>
      <c r="C42" s="1"/>
      <c r="D42" s="1"/>
      <c r="E42" s="1"/>
      <c r="F42" s="1"/>
    </row>
    <row r="43" spans="1:27">
      <c r="B43" s="4"/>
      <c r="C43" s="1"/>
      <c r="D43" s="1"/>
      <c r="E43" s="1"/>
      <c r="F43" s="1"/>
    </row>
    <row r="44" spans="1:27">
      <c r="B44" s="4"/>
      <c r="C44" s="1"/>
      <c r="D44" s="1"/>
      <c r="E44" s="1"/>
      <c r="F44" s="1"/>
    </row>
    <row r="45" spans="1:27">
      <c r="B45" s="53"/>
      <c r="C45" s="1"/>
      <c r="D45" s="1"/>
      <c r="E45" s="1"/>
      <c r="F45" s="1"/>
    </row>
    <row r="46" spans="1:27">
      <c r="C46" s="1"/>
      <c r="D46" s="1"/>
      <c r="E46" s="1"/>
      <c r="F46" s="1"/>
    </row>
    <row r="47" spans="1:27">
      <c r="C47" s="1"/>
      <c r="D47" s="1"/>
      <c r="E47" s="1"/>
      <c r="F47" s="1"/>
    </row>
    <row r="48" spans="1:27">
      <c r="C48" s="1"/>
      <c r="D48" s="1"/>
      <c r="E48" s="1"/>
      <c r="F48" s="1"/>
    </row>
    <row r="49" spans="2:6">
      <c r="C49" s="1"/>
      <c r="D49" s="1"/>
      <c r="E49" s="1"/>
      <c r="F49" s="1"/>
    </row>
    <row r="50" spans="2:6">
      <c r="C50" s="1"/>
      <c r="D50" s="1"/>
      <c r="E50" s="1"/>
      <c r="F50" s="1"/>
    </row>
    <row r="51" spans="2:6">
      <c r="C51" s="1"/>
      <c r="D51" s="1"/>
      <c r="E51" s="1"/>
      <c r="F51" s="1"/>
    </row>
    <row r="52" spans="2:6">
      <c r="C52" s="1"/>
      <c r="D52" s="1"/>
      <c r="E52" s="1"/>
      <c r="F52" s="1"/>
    </row>
    <row r="53" spans="2:6">
      <c r="C53" s="1"/>
      <c r="D53" s="1"/>
      <c r="E53" s="1"/>
      <c r="F53" s="1"/>
    </row>
    <row r="54" spans="2:6">
      <c r="B54" s="4"/>
      <c r="C54" s="1"/>
      <c r="D54" s="1"/>
      <c r="E54" s="1"/>
      <c r="F54" s="1"/>
    </row>
    <row r="55" spans="2:6">
      <c r="B55" s="4"/>
      <c r="C55" s="1"/>
      <c r="D55" s="1"/>
      <c r="E55" s="1"/>
      <c r="F55" s="1"/>
    </row>
    <row r="56" spans="2:6">
      <c r="B56" s="4"/>
      <c r="C56" s="1"/>
      <c r="D56" s="1"/>
      <c r="E56" s="1"/>
      <c r="F56" s="1"/>
    </row>
    <row r="57" spans="2:6">
      <c r="B57" s="4"/>
      <c r="C57" s="1"/>
      <c r="D57" s="1"/>
      <c r="E57" s="1"/>
      <c r="F57" s="1"/>
    </row>
    <row r="58" spans="2:6">
      <c r="B58" s="4"/>
      <c r="C58" s="1"/>
      <c r="D58" s="1"/>
      <c r="E58" s="1"/>
      <c r="F58" s="1"/>
    </row>
    <row r="59" spans="2:6">
      <c r="B59" s="4"/>
      <c r="C59" s="1"/>
      <c r="D59" s="1"/>
      <c r="E59" s="1"/>
      <c r="F59" s="1"/>
    </row>
    <row r="60" spans="2:6">
      <c r="B60" s="4"/>
      <c r="C60" s="1"/>
      <c r="D60" s="1"/>
      <c r="E60" s="1"/>
      <c r="F60" s="1"/>
    </row>
    <row r="61" spans="2:6">
      <c r="B61" s="4"/>
      <c r="C61" s="1"/>
      <c r="D61" s="1"/>
      <c r="E61" s="1"/>
      <c r="F61" s="1"/>
    </row>
    <row r="62" spans="2:6">
      <c r="B62" s="4"/>
      <c r="C62" s="1"/>
      <c r="D62" s="1"/>
      <c r="E62" s="1"/>
      <c r="F62" s="1"/>
    </row>
    <row r="63" spans="2:6">
      <c r="B63" s="4"/>
      <c r="C63" s="1"/>
      <c r="D63" s="1"/>
      <c r="E63" s="1"/>
      <c r="F63" s="1"/>
    </row>
    <row r="64" spans="2:6">
      <c r="B64" s="4"/>
      <c r="C64" s="1"/>
      <c r="D64" s="1"/>
      <c r="E64" s="1"/>
      <c r="F64" s="1"/>
    </row>
    <row r="65" spans="2:6">
      <c r="B65" s="4"/>
      <c r="C65" s="1"/>
      <c r="D65" s="1"/>
      <c r="E65" s="1"/>
      <c r="F65" s="1"/>
    </row>
    <row r="66" spans="2:6">
      <c r="B66" s="53"/>
      <c r="C66" s="1"/>
      <c r="D66" s="52"/>
      <c r="E66" s="52"/>
      <c r="F66" s="1"/>
    </row>
    <row r="67" spans="2:6">
      <c r="B67" s="53"/>
      <c r="C67" s="1"/>
      <c r="D67" s="1"/>
      <c r="E67" s="1"/>
      <c r="F67" s="1"/>
    </row>
    <row r="68" spans="2:6">
      <c r="B68" s="53"/>
      <c r="C68" s="1"/>
      <c r="D68" s="1"/>
      <c r="E68" s="1"/>
      <c r="F68" s="1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J2:Z2"/>
    <mergeCell ref="A2:E2"/>
  </mergeCells>
  <phoneticPr fontId="11"/>
  <conditionalFormatting sqref="Z4:Z34">
    <cfRule type="cellIs" dxfId="7" priority="7" operator="equal">
      <formula>"Sunday"</formula>
    </cfRule>
  </conditionalFormatting>
  <conditionalFormatting sqref="Z9">
    <cfRule type="cellIs" dxfId="6" priority="6" operator="equal">
      <formula>"Saturday"</formula>
    </cfRule>
  </conditionalFormatting>
  <conditionalFormatting sqref="Z4:Z34">
    <cfRule type="cellIs" dxfId="5" priority="5" operator="equal">
      <formula>"Saturday"</formula>
    </cfRule>
  </conditionalFormatting>
  <conditionalFormatting sqref="B4:B34">
    <cfRule type="cellIs" dxfId="4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TextBox1">
          <controlPr defaultSize="0" autoLine="0" r:id="rId5">
            <anchor moveWithCells="1">
              <from>
                <xdr:col>0</xdr:col>
                <xdr:colOff>752475</xdr:colOff>
                <xdr:row>0</xdr:row>
                <xdr:rowOff>85725</xdr:rowOff>
              </from>
              <to>
                <xdr:col>2</xdr:col>
                <xdr:colOff>495300</xdr:colOff>
                <xdr:row>0</xdr:row>
                <xdr:rowOff>390525</xdr:rowOff>
              </to>
            </anchor>
          </controlPr>
        </control>
      </mc:Choice>
      <mc:Fallback>
        <control shapeId="1027" r:id="rId4" name="TextBox1"/>
      </mc:Fallback>
    </mc:AlternateContent>
    <mc:AlternateContent xmlns:mc="http://schemas.openxmlformats.org/markup-compatibility/2006">
      <mc:Choice Requires="x14">
        <control shapeId="1028" r:id="rId6" name="TextBox2">
          <controlPr defaultSize="0" autoLine="0" r:id="rId7">
            <anchor moveWithCells="1">
              <from>
                <xdr:col>0</xdr:col>
                <xdr:colOff>704850</xdr:colOff>
                <xdr:row>0</xdr:row>
                <xdr:rowOff>619125</xdr:rowOff>
              </from>
              <to>
                <xdr:col>0</xdr:col>
                <xdr:colOff>3048000</xdr:colOff>
                <xdr:row>0</xdr:row>
                <xdr:rowOff>895350</xdr:rowOff>
              </to>
            </anchor>
          </controlPr>
        </control>
      </mc:Choice>
      <mc:Fallback>
        <control shapeId="1028" r:id="rId6" name="TextBox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hisWorkbook.ReadFile">
            <anchor moveWithCells="1" sizeWithCells="1">
              <from>
                <xdr:col>24</xdr:col>
                <xdr:colOff>361950</xdr:colOff>
                <xdr:row>0</xdr:row>
                <xdr:rowOff>590550</xdr:rowOff>
              </from>
              <to>
                <xdr:col>25</xdr:col>
                <xdr:colOff>752475</xdr:colOff>
                <xdr:row>0</xdr:row>
                <xdr:rowOff>1000125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Path">
          <controlPr defaultSize="0" autoFill="0" autoLine="0" autoPict="0">
            <anchor moveWithCells="1">
              <from>
                <xdr:col>0</xdr:col>
                <xdr:colOff>85725</xdr:colOff>
                <xdr:row>0</xdr:row>
                <xdr:rowOff>47625</xdr:rowOff>
              </from>
              <to>
                <xdr:col>0</xdr:col>
                <xdr:colOff>828675</xdr:colOff>
                <xdr:row>0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Path">
          <controlPr defaultSize="0" autoFill="0" autoLine="0" autoPict="0">
            <anchor moveWithCells="1">
              <from>
                <xdr:col>0</xdr:col>
                <xdr:colOff>57150</xdr:colOff>
                <xdr:row>0</xdr:row>
                <xdr:rowOff>590550</xdr:rowOff>
              </from>
              <to>
                <xdr:col>0</xdr:col>
                <xdr:colOff>800100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93"/>
  <sheetViews>
    <sheetView zoomScale="85" zoomScaleNormal="85" workbookViewId="0">
      <selection activeCell="Z27" sqref="Z27"/>
    </sheetView>
  </sheetViews>
  <sheetFormatPr defaultColWidth="9.125" defaultRowHeight="14.25"/>
  <cols>
    <col min="1" max="1" width="44.125" style="51" customWidth="1"/>
    <col min="2" max="2" width="13.75" style="2" customWidth="1"/>
    <col min="3" max="3" width="12.75" style="51" bestFit="1" customWidth="1"/>
    <col min="4" max="4" width="9.125" style="51"/>
    <col min="5" max="5" width="14.625" style="51" bestFit="1" customWidth="1"/>
    <col min="6" max="6" width="9.75" style="51" hidden="1" customWidth="1"/>
    <col min="7" max="8" width="9.125" style="51" hidden="1" customWidth="1"/>
    <col min="9" max="9" width="15.875" style="51" hidden="1" customWidth="1"/>
    <col min="10" max="10" width="21.875" style="51" bestFit="1" customWidth="1"/>
    <col min="11" max="12" width="14.25" style="51" hidden="1" customWidth="1"/>
    <col min="13" max="15" width="9.125" style="51" hidden="1" customWidth="1"/>
    <col min="16" max="16" width="22" style="51" bestFit="1" customWidth="1"/>
    <col min="17" max="17" width="16.25" style="51" bestFit="1" customWidth="1"/>
    <col min="18" max="19" width="15.625" style="51" hidden="1" customWidth="1"/>
    <col min="20" max="20" width="10" style="51" hidden="1" customWidth="1"/>
    <col min="21" max="21" width="22.25" style="51" bestFit="1" customWidth="1"/>
    <col min="22" max="22" width="12.875" style="51" bestFit="1" customWidth="1"/>
    <col min="23" max="23" width="14.375" style="51" customWidth="1"/>
    <col min="24" max="24" width="13.125" style="51" bestFit="1" customWidth="1"/>
    <col min="25" max="25" width="10" style="51" bestFit="1" customWidth="1"/>
    <col min="26" max="26" width="11.375" style="2" bestFit="1" customWidth="1"/>
    <col min="27" max="27" width="9.125" style="51"/>
    <col min="28" max="28" width="9.875" style="51" bestFit="1" customWidth="1"/>
    <col min="29" max="16384" width="9.125" style="51"/>
  </cols>
  <sheetData>
    <row r="1" spans="1:28" ht="30" customHeight="1" thickBot="1">
      <c r="A1" s="27"/>
      <c r="B1" s="47"/>
      <c r="C1" s="48"/>
      <c r="D1" s="48"/>
      <c r="E1" s="48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8"/>
      <c r="AA1" s="30"/>
    </row>
    <row r="2" spans="1:28" ht="15.75" thickBot="1">
      <c r="A2" s="73" t="s">
        <v>27</v>
      </c>
      <c r="B2" s="74"/>
      <c r="C2" s="74"/>
      <c r="D2" s="74"/>
      <c r="E2" s="75"/>
      <c r="F2" s="31"/>
      <c r="G2" s="31"/>
      <c r="H2" s="31"/>
      <c r="I2" s="31"/>
      <c r="J2" s="70" t="s">
        <v>16</v>
      </c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2"/>
      <c r="AA2" s="49"/>
    </row>
    <row r="3" spans="1:28">
      <c r="A3" s="57" t="s">
        <v>1</v>
      </c>
      <c r="B3" s="58" t="s">
        <v>0</v>
      </c>
      <c r="C3" s="57" t="s">
        <v>2</v>
      </c>
      <c r="D3" s="57" t="s">
        <v>3</v>
      </c>
      <c r="E3" s="57" t="s">
        <v>25</v>
      </c>
      <c r="F3" s="10" t="s">
        <v>4</v>
      </c>
      <c r="G3" s="10" t="s">
        <v>5</v>
      </c>
      <c r="H3" s="10" t="s">
        <v>17</v>
      </c>
      <c r="I3" s="10" t="s">
        <v>13</v>
      </c>
      <c r="J3" s="59" t="s">
        <v>11</v>
      </c>
      <c r="K3" s="59" t="s">
        <v>14</v>
      </c>
      <c r="L3" s="59" t="s">
        <v>15</v>
      </c>
      <c r="M3" s="59" t="s">
        <v>4</v>
      </c>
      <c r="N3" s="59" t="s">
        <v>5</v>
      </c>
      <c r="O3" s="59" t="s">
        <v>6</v>
      </c>
      <c r="P3" s="59" t="s">
        <v>12</v>
      </c>
      <c r="Q3" s="59" t="s">
        <v>23</v>
      </c>
      <c r="R3" s="59" t="s">
        <v>19</v>
      </c>
      <c r="S3" s="59" t="s">
        <v>21</v>
      </c>
      <c r="T3" s="59" t="s">
        <v>20</v>
      </c>
      <c r="U3" s="59" t="s">
        <v>22</v>
      </c>
      <c r="V3" s="59" t="s">
        <v>7</v>
      </c>
      <c r="W3" s="59" t="s">
        <v>8</v>
      </c>
      <c r="X3" s="59" t="s">
        <v>24</v>
      </c>
      <c r="Y3" s="59" t="s">
        <v>10</v>
      </c>
      <c r="Z3" s="14" t="s">
        <v>9</v>
      </c>
      <c r="AA3" s="49"/>
      <c r="AB3" s="69">
        <f ca="1">TODAY()</f>
        <v>42976</v>
      </c>
    </row>
    <row r="4" spans="1:28" s="3" customFormat="1" ht="15">
      <c r="A4" s="33" t="s">
        <v>26</v>
      </c>
      <c r="B4" s="50">
        <v>42948</v>
      </c>
      <c r="C4" s="54">
        <v>0.32500000000000001</v>
      </c>
      <c r="D4" s="54">
        <v>0.88611111111111107</v>
      </c>
      <c r="E4" s="54">
        <v>0.56041666666666667</v>
      </c>
      <c r="F4" s="11">
        <f xml:space="preserve"> HOUR(C4)</f>
        <v>7</v>
      </c>
      <c r="G4" s="7">
        <f>MINUTE(C4)</f>
        <v>48</v>
      </c>
      <c r="H4" s="7">
        <f t="shared" ref="H4:H6" si="0" xml:space="preserve"> IF(MOD(G4,5) = 0, QUOTIENT(G4/5,1)*5, (QUOTIENT(G4/5,1) + 1)*5)</f>
        <v>50</v>
      </c>
      <c r="I4" s="7">
        <f xml:space="preserve"> IF(G4&lt;=55, F4, F4+1)</f>
        <v>7</v>
      </c>
      <c r="J4" s="8">
        <f t="shared" ref="J4:J5" si="1" xml:space="preserve"> IF(G4&gt;55,TIME(I4,0,0),TIME(F4,H4,0))</f>
        <v>0.3263888888888889</v>
      </c>
      <c r="K4" s="8">
        <v>0.375</v>
      </c>
      <c r="L4" s="8">
        <v>0.66666666666666663</v>
      </c>
      <c r="M4" s="7">
        <f t="shared" ref="M4:M34" si="2" xml:space="preserve"> HOUR(D4)</f>
        <v>21</v>
      </c>
      <c r="N4" s="7">
        <f t="shared" ref="N4:N34" si="3">MINUTE(D4)</f>
        <v>16</v>
      </c>
      <c r="O4" s="7">
        <f xml:space="preserve"> QUOTIENT(N4/5,1)*5</f>
        <v>15</v>
      </c>
      <c r="P4" s="8">
        <f t="shared" ref="P4:P34" si="4" xml:space="preserve"> TIME(M4,O4,0)</f>
        <v>0.88541666666666663</v>
      </c>
      <c r="Q4" s="66">
        <f t="shared" ref="Q4:Q34" si="5">(IF(C4&gt;K4, 1,0 ) + IF(D4&lt;L4, 1,0 ))*W4</f>
        <v>0</v>
      </c>
      <c r="R4" s="49">
        <v>0.38541666666666669</v>
      </c>
      <c r="S4" s="37">
        <v>0.65625</v>
      </c>
      <c r="T4" s="60">
        <f t="shared" ref="T4:T34" si="6">(IF(C4&gt;R4,2,1)*IF(C4&gt;K4, 1,0 ) + IF(D4&lt;S4,2,1)*IF(D4&lt;L4,1,0))*IF(W4=0,0,1)</f>
        <v>0</v>
      </c>
      <c r="U4" s="63">
        <f>T4*15</f>
        <v>0</v>
      </c>
      <c r="V4" s="64">
        <f t="shared" ref="V4:V34" si="7" xml:space="preserve"> IF(C4=0, 0, (HOUR(P4)-HOUR(J4))*60+MINUTE(P4)-MINUTE(J4)-60)</f>
        <v>745</v>
      </c>
      <c r="W4" s="7">
        <f t="shared" ref="W4:W34" si="8" xml:space="preserve"> IF(C4&gt;0, 1,0)</f>
        <v>1</v>
      </c>
      <c r="X4" s="12">
        <f xml:space="preserve"> IF(W4=0, 0, 8.5*60)</f>
        <v>510</v>
      </c>
      <c r="Y4" s="55">
        <f t="shared" ref="Y4:Y5" si="9">V4-X4</f>
        <v>235</v>
      </c>
      <c r="Z4" s="56" t="str">
        <f xml:space="preserve"> IF(B4="","",TEXT(B4, "dddd"))</f>
        <v>Tuesday</v>
      </c>
      <c r="AA4" s="32"/>
    </row>
    <row r="5" spans="1:28" s="3" customFormat="1" ht="15">
      <c r="A5" s="33" t="s">
        <v>26</v>
      </c>
      <c r="B5" s="50">
        <v>42949</v>
      </c>
      <c r="C5" s="54">
        <v>0.34236111111111112</v>
      </c>
      <c r="D5" s="54">
        <v>0.81874999999999998</v>
      </c>
      <c r="E5" s="54">
        <v>0.47638888888888892</v>
      </c>
      <c r="F5" s="11">
        <f t="shared" ref="F5:F34" si="10" xml:space="preserve"> HOUR(C5)</f>
        <v>8</v>
      </c>
      <c r="G5" s="7">
        <f t="shared" ref="G5:G34" si="11" xml:space="preserve"> MINUTE(C5)</f>
        <v>13</v>
      </c>
      <c r="H5" s="7">
        <f t="shared" si="0"/>
        <v>15</v>
      </c>
      <c r="I5" s="7">
        <f t="shared" ref="I5:I34" si="12" xml:space="preserve"> IF(G5&lt;=55, F5, F5+1)</f>
        <v>8</v>
      </c>
      <c r="J5" s="8">
        <f t="shared" si="1"/>
        <v>0.34375</v>
      </c>
      <c r="K5" s="8">
        <v>0.375</v>
      </c>
      <c r="L5" s="8">
        <v>0.66666666666666663</v>
      </c>
      <c r="M5" s="7">
        <f t="shared" si="2"/>
        <v>19</v>
      </c>
      <c r="N5" s="7">
        <f t="shared" si="3"/>
        <v>39</v>
      </c>
      <c r="O5" s="7">
        <f t="shared" ref="O5:O34" si="13" xml:space="preserve"> QUOTIENT(N5/5,1)*5</f>
        <v>35</v>
      </c>
      <c r="P5" s="8">
        <f t="shared" si="4"/>
        <v>0.81597222222222221</v>
      </c>
      <c r="Q5" s="66">
        <f t="shared" si="5"/>
        <v>0</v>
      </c>
      <c r="R5" s="49">
        <v>0.38541666666666669</v>
      </c>
      <c r="S5" s="37">
        <v>0.65625</v>
      </c>
      <c r="T5" s="60">
        <f t="shared" si="6"/>
        <v>0</v>
      </c>
      <c r="U5" s="63">
        <f t="shared" ref="U5:U34" si="14">T5*15</f>
        <v>0</v>
      </c>
      <c r="V5" s="64">
        <f t="shared" si="7"/>
        <v>620</v>
      </c>
      <c r="W5" s="7">
        <f t="shared" si="8"/>
        <v>1</v>
      </c>
      <c r="X5" s="12">
        <f t="shared" ref="X5:X34" si="15" xml:space="preserve"> IF(W5=0, 0, 8.5*60)</f>
        <v>510</v>
      </c>
      <c r="Y5" s="55">
        <f t="shared" si="9"/>
        <v>110</v>
      </c>
      <c r="Z5" s="56" t="str">
        <f t="shared" ref="Z5:Z34" si="16" xml:space="preserve"> IF(B5="","",TEXT(B5, "dddd"))</f>
        <v>Wednesday</v>
      </c>
      <c r="AA5" s="32"/>
    </row>
    <row r="6" spans="1:28" s="3" customFormat="1" ht="15">
      <c r="A6" s="33" t="s">
        <v>26</v>
      </c>
      <c r="B6" s="50">
        <v>42950</v>
      </c>
      <c r="C6" s="54">
        <v>0.33124999999999999</v>
      </c>
      <c r="D6" s="54">
        <v>0.81527777777777777</v>
      </c>
      <c r="E6" s="54">
        <v>0.48333333333333334</v>
      </c>
      <c r="F6" s="11">
        <f t="shared" si="10"/>
        <v>7</v>
      </c>
      <c r="G6" s="7">
        <f t="shared" si="11"/>
        <v>57</v>
      </c>
      <c r="H6" s="7">
        <f t="shared" si="0"/>
        <v>60</v>
      </c>
      <c r="I6" s="7">
        <f t="shared" si="12"/>
        <v>8</v>
      </c>
      <c r="J6" s="8">
        <f xml:space="preserve"> IF(G6&gt;55,TIME(I6,0,0),TIME(F6,H6,0))</f>
        <v>0.33333333333333331</v>
      </c>
      <c r="K6" s="8">
        <v>0.375</v>
      </c>
      <c r="L6" s="8">
        <v>0.66666666666666663</v>
      </c>
      <c r="M6" s="7">
        <f t="shared" si="2"/>
        <v>19</v>
      </c>
      <c r="N6" s="7">
        <f t="shared" si="3"/>
        <v>34</v>
      </c>
      <c r="O6" s="7">
        <f t="shared" si="13"/>
        <v>30</v>
      </c>
      <c r="P6" s="8">
        <f t="shared" si="4"/>
        <v>0.8125</v>
      </c>
      <c r="Q6" s="66">
        <f t="shared" si="5"/>
        <v>0</v>
      </c>
      <c r="R6" s="49">
        <v>0.38541666666666669</v>
      </c>
      <c r="S6" s="37">
        <v>0.65625</v>
      </c>
      <c r="T6" s="60">
        <f t="shared" si="6"/>
        <v>0</v>
      </c>
      <c r="U6" s="63">
        <f t="shared" si="14"/>
        <v>0</v>
      </c>
      <c r="V6" s="64">
        <f t="shared" si="7"/>
        <v>630</v>
      </c>
      <c r="W6" s="7">
        <f t="shared" si="8"/>
        <v>1</v>
      </c>
      <c r="X6" s="12">
        <f t="shared" si="15"/>
        <v>510</v>
      </c>
      <c r="Y6" s="55">
        <f>V6-X6</f>
        <v>120</v>
      </c>
      <c r="Z6" s="56" t="str">
        <f t="shared" si="16"/>
        <v>Thursday</v>
      </c>
      <c r="AA6" s="32"/>
    </row>
    <row r="7" spans="1:28" s="3" customFormat="1" ht="15">
      <c r="A7" s="33" t="s">
        <v>26</v>
      </c>
      <c r="B7" s="50">
        <v>42951</v>
      </c>
      <c r="C7" s="54">
        <v>0.34513888888888888</v>
      </c>
      <c r="D7" s="54">
        <v>0.8520833333333333</v>
      </c>
      <c r="E7" s="54">
        <v>0.50624999999999998</v>
      </c>
      <c r="F7" s="11">
        <f t="shared" si="10"/>
        <v>8</v>
      </c>
      <c r="G7" s="7">
        <f t="shared" si="11"/>
        <v>17</v>
      </c>
      <c r="H7" s="7">
        <f xml:space="preserve"> IF(MOD(G7,5) = 0, QUOTIENT(G7/5,1)*5, (QUOTIENT(G7/5,1) + 1)*5)</f>
        <v>20</v>
      </c>
      <c r="I7" s="7">
        <f t="shared" si="12"/>
        <v>8</v>
      </c>
      <c r="J7" s="8">
        <f t="shared" ref="J7:J34" si="17" xml:space="preserve"> IF(G7&gt;55,TIME(I7,0,0),TIME(F7,H7,0))</f>
        <v>0.34722222222222227</v>
      </c>
      <c r="K7" s="8">
        <v>0.375</v>
      </c>
      <c r="L7" s="8">
        <v>0.66666666666666663</v>
      </c>
      <c r="M7" s="7">
        <f t="shared" si="2"/>
        <v>20</v>
      </c>
      <c r="N7" s="7">
        <f t="shared" si="3"/>
        <v>27</v>
      </c>
      <c r="O7" s="7">
        <f t="shared" si="13"/>
        <v>25</v>
      </c>
      <c r="P7" s="8">
        <f t="shared" si="4"/>
        <v>0.85069444444444453</v>
      </c>
      <c r="Q7" s="66">
        <f t="shared" si="5"/>
        <v>0</v>
      </c>
      <c r="R7" s="49">
        <v>0.38541666666666669</v>
      </c>
      <c r="S7" s="37">
        <v>0.65625</v>
      </c>
      <c r="T7" s="60">
        <f t="shared" si="6"/>
        <v>0</v>
      </c>
      <c r="U7" s="63">
        <f t="shared" si="14"/>
        <v>0</v>
      </c>
      <c r="V7" s="64">
        <f t="shared" si="7"/>
        <v>665</v>
      </c>
      <c r="W7" s="7">
        <f t="shared" si="8"/>
        <v>1</v>
      </c>
      <c r="X7" s="12">
        <f t="shared" si="15"/>
        <v>510</v>
      </c>
      <c r="Y7" s="55">
        <f t="shared" ref="Y7:Y34" si="18">V7-X7</f>
        <v>155</v>
      </c>
      <c r="Z7" s="56" t="str">
        <f t="shared" si="16"/>
        <v>Friday</v>
      </c>
      <c r="AA7" s="32"/>
    </row>
    <row r="8" spans="1:28" s="3" customFormat="1" ht="15">
      <c r="A8" s="33" t="s">
        <v>26</v>
      </c>
      <c r="B8" s="50">
        <v>42952</v>
      </c>
      <c r="C8" s="54">
        <v>0</v>
      </c>
      <c r="D8" s="54">
        <v>0</v>
      </c>
      <c r="E8" s="54">
        <v>0</v>
      </c>
      <c r="F8" s="11">
        <f t="shared" si="10"/>
        <v>0</v>
      </c>
      <c r="G8" s="7">
        <f t="shared" si="11"/>
        <v>0</v>
      </c>
      <c r="H8" s="7">
        <f t="shared" ref="H8:H34" si="19" xml:space="preserve"> IF(MOD(G8,5) = 0, QUOTIENT(G8/5,1)*5, (QUOTIENT(G8/5,1) + 1)*5)</f>
        <v>0</v>
      </c>
      <c r="I8" s="7">
        <f t="shared" si="12"/>
        <v>0</v>
      </c>
      <c r="J8" s="8">
        <f t="shared" si="17"/>
        <v>0</v>
      </c>
      <c r="K8" s="8">
        <v>0.375</v>
      </c>
      <c r="L8" s="8">
        <v>0.66666666666666663</v>
      </c>
      <c r="M8" s="7">
        <f t="shared" si="2"/>
        <v>0</v>
      </c>
      <c r="N8" s="7">
        <f t="shared" si="3"/>
        <v>0</v>
      </c>
      <c r="O8" s="7">
        <f t="shared" si="13"/>
        <v>0</v>
      </c>
      <c r="P8" s="8">
        <f t="shared" si="4"/>
        <v>0</v>
      </c>
      <c r="Q8" s="66">
        <f t="shared" si="5"/>
        <v>0</v>
      </c>
      <c r="R8" s="49">
        <v>0.38541666666666669</v>
      </c>
      <c r="S8" s="37">
        <v>0.65625</v>
      </c>
      <c r="T8" s="60">
        <f t="shared" si="6"/>
        <v>0</v>
      </c>
      <c r="U8" s="63">
        <f t="shared" si="14"/>
        <v>0</v>
      </c>
      <c r="V8" s="64">
        <f t="shared" si="7"/>
        <v>0</v>
      </c>
      <c r="W8" s="7">
        <f t="shared" si="8"/>
        <v>0</v>
      </c>
      <c r="X8" s="12">
        <f t="shared" si="15"/>
        <v>0</v>
      </c>
      <c r="Y8" s="55">
        <f t="shared" si="18"/>
        <v>0</v>
      </c>
      <c r="Z8" s="56" t="str">
        <f t="shared" si="16"/>
        <v>Saturday</v>
      </c>
      <c r="AA8" s="32"/>
    </row>
    <row r="9" spans="1:28" s="3" customFormat="1" ht="15">
      <c r="A9" s="33" t="s">
        <v>26</v>
      </c>
      <c r="B9" s="50">
        <v>42953</v>
      </c>
      <c r="C9" s="54">
        <v>0</v>
      </c>
      <c r="D9" s="54">
        <v>0</v>
      </c>
      <c r="E9" s="54">
        <v>0</v>
      </c>
      <c r="F9" s="11">
        <f t="shared" si="10"/>
        <v>0</v>
      </c>
      <c r="G9" s="7">
        <f t="shared" si="11"/>
        <v>0</v>
      </c>
      <c r="H9" s="7">
        <f t="shared" si="19"/>
        <v>0</v>
      </c>
      <c r="I9" s="7">
        <f t="shared" si="12"/>
        <v>0</v>
      </c>
      <c r="J9" s="8">
        <f t="shared" si="17"/>
        <v>0</v>
      </c>
      <c r="K9" s="8">
        <v>0.375</v>
      </c>
      <c r="L9" s="8">
        <v>0.66666666666666696</v>
      </c>
      <c r="M9" s="7">
        <f t="shared" si="2"/>
        <v>0</v>
      </c>
      <c r="N9" s="7">
        <f t="shared" si="3"/>
        <v>0</v>
      </c>
      <c r="O9" s="7">
        <f t="shared" si="13"/>
        <v>0</v>
      </c>
      <c r="P9" s="8">
        <f t="shared" si="4"/>
        <v>0</v>
      </c>
      <c r="Q9" s="66">
        <f t="shared" si="5"/>
        <v>0</v>
      </c>
      <c r="R9" s="49">
        <v>0.38541666666666669</v>
      </c>
      <c r="S9" s="37">
        <v>0.65625</v>
      </c>
      <c r="T9" s="60">
        <f t="shared" si="6"/>
        <v>0</v>
      </c>
      <c r="U9" s="63">
        <f t="shared" si="14"/>
        <v>0</v>
      </c>
      <c r="V9" s="64">
        <f t="shared" si="7"/>
        <v>0</v>
      </c>
      <c r="W9" s="7">
        <f t="shared" si="8"/>
        <v>0</v>
      </c>
      <c r="X9" s="12">
        <f t="shared" si="15"/>
        <v>0</v>
      </c>
      <c r="Y9" s="55">
        <f t="shared" si="18"/>
        <v>0</v>
      </c>
      <c r="Z9" s="56" t="str">
        <f t="shared" si="16"/>
        <v>Sunday</v>
      </c>
      <c r="AA9" s="32"/>
    </row>
    <row r="10" spans="1:28" s="3" customFormat="1" ht="15">
      <c r="A10" s="33" t="s">
        <v>26</v>
      </c>
      <c r="B10" s="50">
        <v>42954</v>
      </c>
      <c r="C10" s="54">
        <v>0.33055555555555555</v>
      </c>
      <c r="D10" s="54">
        <v>0.84027777777777779</v>
      </c>
      <c r="E10" s="54">
        <v>0.50902777777777775</v>
      </c>
      <c r="F10" s="11">
        <f t="shared" si="10"/>
        <v>7</v>
      </c>
      <c r="G10" s="7">
        <f t="shared" si="11"/>
        <v>56</v>
      </c>
      <c r="H10" s="7">
        <f t="shared" si="19"/>
        <v>60</v>
      </c>
      <c r="I10" s="7">
        <f t="shared" si="12"/>
        <v>8</v>
      </c>
      <c r="J10" s="8">
        <f t="shared" si="17"/>
        <v>0.33333333333333331</v>
      </c>
      <c r="K10" s="8">
        <v>0.375</v>
      </c>
      <c r="L10" s="8">
        <v>0.66666666666666696</v>
      </c>
      <c r="M10" s="7">
        <f t="shared" si="2"/>
        <v>20</v>
      </c>
      <c r="N10" s="7">
        <f t="shared" si="3"/>
        <v>10</v>
      </c>
      <c r="O10" s="7">
        <f t="shared" si="13"/>
        <v>10</v>
      </c>
      <c r="P10" s="8">
        <f t="shared" si="4"/>
        <v>0.84027777777777779</v>
      </c>
      <c r="Q10" s="66">
        <f t="shared" si="5"/>
        <v>0</v>
      </c>
      <c r="R10" s="49">
        <v>0.38541666666666669</v>
      </c>
      <c r="S10" s="37">
        <v>0.65625</v>
      </c>
      <c r="T10" s="60">
        <f t="shared" si="6"/>
        <v>0</v>
      </c>
      <c r="U10" s="63">
        <f t="shared" si="14"/>
        <v>0</v>
      </c>
      <c r="V10" s="64">
        <f t="shared" si="7"/>
        <v>670</v>
      </c>
      <c r="W10" s="7">
        <f t="shared" si="8"/>
        <v>1</v>
      </c>
      <c r="X10" s="12">
        <f t="shared" si="15"/>
        <v>510</v>
      </c>
      <c r="Y10" s="55">
        <f t="shared" si="18"/>
        <v>160</v>
      </c>
      <c r="Z10" s="56" t="str">
        <f t="shared" si="16"/>
        <v>Monday</v>
      </c>
      <c r="AA10" s="32"/>
    </row>
    <row r="11" spans="1:28" s="3" customFormat="1" ht="15">
      <c r="A11" s="33" t="s">
        <v>26</v>
      </c>
      <c r="B11" s="50">
        <v>42955</v>
      </c>
      <c r="C11" s="54">
        <v>0.33611111111111108</v>
      </c>
      <c r="D11" s="54">
        <v>0.81597222222222221</v>
      </c>
      <c r="E11" s="54">
        <v>0.47986111111111113</v>
      </c>
      <c r="F11" s="11">
        <f t="shared" si="10"/>
        <v>8</v>
      </c>
      <c r="G11" s="7">
        <f t="shared" si="11"/>
        <v>4</v>
      </c>
      <c r="H11" s="7">
        <f t="shared" si="19"/>
        <v>5</v>
      </c>
      <c r="I11" s="7">
        <f t="shared" si="12"/>
        <v>8</v>
      </c>
      <c r="J11" s="8">
        <f t="shared" si="17"/>
        <v>0.33680555555555558</v>
      </c>
      <c r="K11" s="8">
        <v>0.375</v>
      </c>
      <c r="L11" s="8">
        <v>0.66666666666666696</v>
      </c>
      <c r="M11" s="7">
        <f t="shared" si="2"/>
        <v>19</v>
      </c>
      <c r="N11" s="7">
        <f t="shared" si="3"/>
        <v>35</v>
      </c>
      <c r="O11" s="7">
        <f t="shared" si="13"/>
        <v>35</v>
      </c>
      <c r="P11" s="8">
        <f t="shared" si="4"/>
        <v>0.81597222222222221</v>
      </c>
      <c r="Q11" s="66">
        <f t="shared" si="5"/>
        <v>0</v>
      </c>
      <c r="R11" s="49">
        <v>0.38541666666666669</v>
      </c>
      <c r="S11" s="37">
        <v>0.65625</v>
      </c>
      <c r="T11" s="60">
        <f t="shared" si="6"/>
        <v>0</v>
      </c>
      <c r="U11" s="63">
        <f t="shared" si="14"/>
        <v>0</v>
      </c>
      <c r="V11" s="64">
        <f t="shared" si="7"/>
        <v>630</v>
      </c>
      <c r="W11" s="7">
        <f t="shared" si="8"/>
        <v>1</v>
      </c>
      <c r="X11" s="12">
        <f t="shared" si="15"/>
        <v>510</v>
      </c>
      <c r="Y11" s="55">
        <f t="shared" si="18"/>
        <v>120</v>
      </c>
      <c r="Z11" s="56" t="str">
        <f t="shared" si="16"/>
        <v>Tuesday</v>
      </c>
      <c r="AA11" s="32"/>
    </row>
    <row r="12" spans="1:28" s="3" customFormat="1" ht="15">
      <c r="A12" s="33" t="s">
        <v>26</v>
      </c>
      <c r="B12" s="50">
        <v>42956</v>
      </c>
      <c r="C12" s="54">
        <v>0.3611111111111111</v>
      </c>
      <c r="D12" s="54">
        <v>0.86736111111111114</v>
      </c>
      <c r="E12" s="54">
        <v>0.50555555555555554</v>
      </c>
      <c r="F12" s="11">
        <f t="shared" si="10"/>
        <v>8</v>
      </c>
      <c r="G12" s="7">
        <f t="shared" si="11"/>
        <v>40</v>
      </c>
      <c r="H12" s="7">
        <f t="shared" si="19"/>
        <v>40</v>
      </c>
      <c r="I12" s="7">
        <f t="shared" si="12"/>
        <v>8</v>
      </c>
      <c r="J12" s="8">
        <f t="shared" si="17"/>
        <v>0.3611111111111111</v>
      </c>
      <c r="K12" s="8">
        <v>0.375</v>
      </c>
      <c r="L12" s="8">
        <v>0.66666666666666696</v>
      </c>
      <c r="M12" s="7">
        <f t="shared" si="2"/>
        <v>20</v>
      </c>
      <c r="N12" s="7">
        <f t="shared" si="3"/>
        <v>49</v>
      </c>
      <c r="O12" s="7">
        <f t="shared" si="13"/>
        <v>45</v>
      </c>
      <c r="P12" s="8">
        <f t="shared" si="4"/>
        <v>0.86458333333333337</v>
      </c>
      <c r="Q12" s="66">
        <f t="shared" si="5"/>
        <v>0</v>
      </c>
      <c r="R12" s="49">
        <v>0.38541666666666669</v>
      </c>
      <c r="S12" s="37">
        <v>0.65625</v>
      </c>
      <c r="T12" s="60">
        <f t="shared" si="6"/>
        <v>0</v>
      </c>
      <c r="U12" s="63">
        <f t="shared" si="14"/>
        <v>0</v>
      </c>
      <c r="V12" s="64">
        <f t="shared" si="7"/>
        <v>665</v>
      </c>
      <c r="W12" s="7">
        <f t="shared" si="8"/>
        <v>1</v>
      </c>
      <c r="X12" s="12">
        <f t="shared" si="15"/>
        <v>510</v>
      </c>
      <c r="Y12" s="55">
        <f t="shared" si="18"/>
        <v>155</v>
      </c>
      <c r="Z12" s="56" t="str">
        <f t="shared" si="16"/>
        <v>Wednesday</v>
      </c>
      <c r="AA12" s="32"/>
    </row>
    <row r="13" spans="1:28" s="3" customFormat="1" ht="15">
      <c r="A13" s="33" t="s">
        <v>26</v>
      </c>
      <c r="B13" s="50">
        <v>42957</v>
      </c>
      <c r="C13" s="54">
        <v>0.34166666666666662</v>
      </c>
      <c r="D13" s="54">
        <v>0.77013888888888893</v>
      </c>
      <c r="E13" s="54">
        <v>0.4284722222222222</v>
      </c>
      <c r="F13" s="11">
        <f t="shared" si="10"/>
        <v>8</v>
      </c>
      <c r="G13" s="7">
        <f t="shared" si="11"/>
        <v>12</v>
      </c>
      <c r="H13" s="7">
        <f t="shared" si="19"/>
        <v>15</v>
      </c>
      <c r="I13" s="7">
        <f xml:space="preserve"> IF(G13&lt;=55, F13, F13+1)</f>
        <v>8</v>
      </c>
      <c r="J13" s="8">
        <f t="shared" si="17"/>
        <v>0.34375</v>
      </c>
      <c r="K13" s="8">
        <v>0.375</v>
      </c>
      <c r="L13" s="8">
        <v>0.66666666666666696</v>
      </c>
      <c r="M13" s="7">
        <f t="shared" si="2"/>
        <v>18</v>
      </c>
      <c r="N13" s="7">
        <f t="shared" si="3"/>
        <v>29</v>
      </c>
      <c r="O13" s="7">
        <f t="shared" si="13"/>
        <v>25</v>
      </c>
      <c r="P13" s="8">
        <f t="shared" si="4"/>
        <v>0.76736111111111116</v>
      </c>
      <c r="Q13" s="66">
        <f t="shared" si="5"/>
        <v>0</v>
      </c>
      <c r="R13" s="49">
        <v>0.38541666666666669</v>
      </c>
      <c r="S13" s="37">
        <v>0.65625</v>
      </c>
      <c r="T13" s="60">
        <f t="shared" si="6"/>
        <v>0</v>
      </c>
      <c r="U13" s="63">
        <f t="shared" si="14"/>
        <v>0</v>
      </c>
      <c r="V13" s="64">
        <f t="shared" si="7"/>
        <v>550</v>
      </c>
      <c r="W13" s="7">
        <f t="shared" si="8"/>
        <v>1</v>
      </c>
      <c r="X13" s="12">
        <f t="shared" si="15"/>
        <v>510</v>
      </c>
      <c r="Y13" s="55">
        <f t="shared" si="18"/>
        <v>40</v>
      </c>
      <c r="Z13" s="56" t="str">
        <f t="shared" si="16"/>
        <v>Thursday</v>
      </c>
      <c r="AA13" s="32"/>
    </row>
    <row r="14" spans="1:28" s="3" customFormat="1" ht="15">
      <c r="A14" s="33" t="s">
        <v>26</v>
      </c>
      <c r="B14" s="50">
        <v>42958</v>
      </c>
      <c r="C14" s="54">
        <v>0</v>
      </c>
      <c r="D14" s="54">
        <v>0</v>
      </c>
      <c r="E14" s="54">
        <v>0</v>
      </c>
      <c r="F14" s="11">
        <f t="shared" si="10"/>
        <v>0</v>
      </c>
      <c r="G14" s="7">
        <f t="shared" si="11"/>
        <v>0</v>
      </c>
      <c r="H14" s="7">
        <f t="shared" si="19"/>
        <v>0</v>
      </c>
      <c r="I14" s="7">
        <f t="shared" si="12"/>
        <v>0</v>
      </c>
      <c r="J14" s="8">
        <f t="shared" si="17"/>
        <v>0</v>
      </c>
      <c r="K14" s="8">
        <v>0.375</v>
      </c>
      <c r="L14" s="8">
        <v>0.66666666666666696</v>
      </c>
      <c r="M14" s="7">
        <f t="shared" si="2"/>
        <v>0</v>
      </c>
      <c r="N14" s="7">
        <f t="shared" si="3"/>
        <v>0</v>
      </c>
      <c r="O14" s="7">
        <f t="shared" si="13"/>
        <v>0</v>
      </c>
      <c r="P14" s="8">
        <f t="shared" si="4"/>
        <v>0</v>
      </c>
      <c r="Q14" s="66">
        <f t="shared" si="5"/>
        <v>0</v>
      </c>
      <c r="R14" s="49">
        <v>0.38541666666666669</v>
      </c>
      <c r="S14" s="37">
        <v>0.65625</v>
      </c>
      <c r="T14" s="60">
        <f t="shared" si="6"/>
        <v>0</v>
      </c>
      <c r="U14" s="63">
        <f t="shared" si="14"/>
        <v>0</v>
      </c>
      <c r="V14" s="64">
        <f t="shared" si="7"/>
        <v>0</v>
      </c>
      <c r="W14" s="7">
        <f t="shared" si="8"/>
        <v>0</v>
      </c>
      <c r="X14" s="12">
        <f t="shared" si="15"/>
        <v>0</v>
      </c>
      <c r="Y14" s="55">
        <f t="shared" si="18"/>
        <v>0</v>
      </c>
      <c r="Z14" s="56" t="str">
        <f t="shared" si="16"/>
        <v>Friday</v>
      </c>
      <c r="AA14" s="32"/>
    </row>
    <row r="15" spans="1:28" s="3" customFormat="1" ht="15">
      <c r="A15" s="33" t="s">
        <v>26</v>
      </c>
      <c r="B15" s="50">
        <v>42959</v>
      </c>
      <c r="C15" s="54">
        <v>0</v>
      </c>
      <c r="D15" s="54">
        <v>0</v>
      </c>
      <c r="E15" s="54">
        <v>0</v>
      </c>
      <c r="F15" s="11">
        <f t="shared" si="10"/>
        <v>0</v>
      </c>
      <c r="G15" s="7">
        <f t="shared" si="11"/>
        <v>0</v>
      </c>
      <c r="H15" s="7">
        <f t="shared" si="19"/>
        <v>0</v>
      </c>
      <c r="I15" s="7">
        <f t="shared" si="12"/>
        <v>0</v>
      </c>
      <c r="J15" s="8">
        <f t="shared" si="17"/>
        <v>0</v>
      </c>
      <c r="K15" s="8">
        <v>0.375</v>
      </c>
      <c r="L15" s="8">
        <v>0.66666666666666696</v>
      </c>
      <c r="M15" s="7">
        <f t="shared" si="2"/>
        <v>0</v>
      </c>
      <c r="N15" s="7">
        <f t="shared" si="3"/>
        <v>0</v>
      </c>
      <c r="O15" s="7">
        <f t="shared" si="13"/>
        <v>0</v>
      </c>
      <c r="P15" s="8">
        <f t="shared" si="4"/>
        <v>0</v>
      </c>
      <c r="Q15" s="66">
        <f t="shared" si="5"/>
        <v>0</v>
      </c>
      <c r="R15" s="49">
        <v>0.38541666666666669</v>
      </c>
      <c r="S15" s="37">
        <v>0.65625</v>
      </c>
      <c r="T15" s="60">
        <f t="shared" si="6"/>
        <v>0</v>
      </c>
      <c r="U15" s="63">
        <f t="shared" si="14"/>
        <v>0</v>
      </c>
      <c r="V15" s="64">
        <f t="shared" si="7"/>
        <v>0</v>
      </c>
      <c r="W15" s="7">
        <f t="shared" si="8"/>
        <v>0</v>
      </c>
      <c r="X15" s="12">
        <f t="shared" si="15"/>
        <v>0</v>
      </c>
      <c r="Y15" s="55">
        <f t="shared" si="18"/>
        <v>0</v>
      </c>
      <c r="Z15" s="56" t="str">
        <f t="shared" si="16"/>
        <v>Saturday</v>
      </c>
      <c r="AA15" s="32"/>
    </row>
    <row r="16" spans="1:28" s="3" customFormat="1" ht="15">
      <c r="A16" s="33" t="s">
        <v>26</v>
      </c>
      <c r="B16" s="50">
        <v>42960</v>
      </c>
      <c r="C16" s="54">
        <v>0</v>
      </c>
      <c r="D16" s="54">
        <v>0</v>
      </c>
      <c r="E16" s="54">
        <v>0</v>
      </c>
      <c r="F16" s="11">
        <f t="shared" si="10"/>
        <v>0</v>
      </c>
      <c r="G16" s="7">
        <f t="shared" si="11"/>
        <v>0</v>
      </c>
      <c r="H16" s="7">
        <f t="shared" si="19"/>
        <v>0</v>
      </c>
      <c r="I16" s="7">
        <f t="shared" si="12"/>
        <v>0</v>
      </c>
      <c r="J16" s="8">
        <f t="shared" si="17"/>
        <v>0</v>
      </c>
      <c r="K16" s="8">
        <v>0.375</v>
      </c>
      <c r="L16" s="8">
        <v>0.66666666666666696</v>
      </c>
      <c r="M16" s="7">
        <f t="shared" si="2"/>
        <v>0</v>
      </c>
      <c r="N16" s="7">
        <f t="shared" si="3"/>
        <v>0</v>
      </c>
      <c r="O16" s="7">
        <f t="shared" si="13"/>
        <v>0</v>
      </c>
      <c r="P16" s="8">
        <f t="shared" si="4"/>
        <v>0</v>
      </c>
      <c r="Q16" s="66">
        <f t="shared" si="5"/>
        <v>0</v>
      </c>
      <c r="R16" s="49">
        <v>0.38541666666666669</v>
      </c>
      <c r="S16" s="37">
        <v>0.65625</v>
      </c>
      <c r="T16" s="60">
        <f t="shared" si="6"/>
        <v>0</v>
      </c>
      <c r="U16" s="63">
        <f t="shared" si="14"/>
        <v>0</v>
      </c>
      <c r="V16" s="64">
        <f t="shared" si="7"/>
        <v>0</v>
      </c>
      <c r="W16" s="7">
        <f t="shared" si="8"/>
        <v>0</v>
      </c>
      <c r="X16" s="12">
        <f t="shared" si="15"/>
        <v>0</v>
      </c>
      <c r="Y16" s="55">
        <f t="shared" si="18"/>
        <v>0</v>
      </c>
      <c r="Z16" s="56" t="str">
        <f t="shared" si="16"/>
        <v>Sunday</v>
      </c>
      <c r="AA16" s="32"/>
    </row>
    <row r="17" spans="1:27" ht="15">
      <c r="A17" s="33" t="s">
        <v>26</v>
      </c>
      <c r="B17" s="50">
        <v>42961</v>
      </c>
      <c r="C17" s="54">
        <v>0.3347222222222222</v>
      </c>
      <c r="D17" s="54">
        <v>0.8027777777777777</v>
      </c>
      <c r="E17" s="54">
        <v>0.46736111111111112</v>
      </c>
      <c r="F17" s="11">
        <f t="shared" si="10"/>
        <v>8</v>
      </c>
      <c r="G17" s="7">
        <f t="shared" si="11"/>
        <v>2</v>
      </c>
      <c r="H17" s="7">
        <f t="shared" si="19"/>
        <v>5</v>
      </c>
      <c r="I17" s="7">
        <f t="shared" si="12"/>
        <v>8</v>
      </c>
      <c r="J17" s="8">
        <f t="shared" si="17"/>
        <v>0.33680555555555558</v>
      </c>
      <c r="K17" s="8">
        <v>0.375</v>
      </c>
      <c r="L17" s="8">
        <v>0.66666666666666696</v>
      </c>
      <c r="M17" s="7">
        <f t="shared" si="2"/>
        <v>19</v>
      </c>
      <c r="N17" s="7">
        <f t="shared" si="3"/>
        <v>16</v>
      </c>
      <c r="O17" s="7">
        <f t="shared" si="13"/>
        <v>15</v>
      </c>
      <c r="P17" s="8">
        <f t="shared" si="4"/>
        <v>0.80208333333333337</v>
      </c>
      <c r="Q17" s="66">
        <f t="shared" si="5"/>
        <v>0</v>
      </c>
      <c r="R17" s="49">
        <v>0.38541666666666669</v>
      </c>
      <c r="S17" s="37">
        <v>0.65625</v>
      </c>
      <c r="T17" s="60">
        <f t="shared" si="6"/>
        <v>0</v>
      </c>
      <c r="U17" s="63">
        <f t="shared" si="14"/>
        <v>0</v>
      </c>
      <c r="V17" s="64">
        <f t="shared" si="7"/>
        <v>610</v>
      </c>
      <c r="W17" s="7">
        <f t="shared" si="8"/>
        <v>1</v>
      </c>
      <c r="X17" s="12">
        <f t="shared" si="15"/>
        <v>510</v>
      </c>
      <c r="Y17" s="55">
        <f t="shared" si="18"/>
        <v>100</v>
      </c>
      <c r="Z17" s="56" t="str">
        <f t="shared" si="16"/>
        <v>Monday</v>
      </c>
      <c r="AA17" s="32"/>
    </row>
    <row r="18" spans="1:27" ht="15">
      <c r="A18" s="33" t="s">
        <v>26</v>
      </c>
      <c r="B18" s="50">
        <v>42962</v>
      </c>
      <c r="C18" s="54">
        <v>0.35347222222222219</v>
      </c>
      <c r="D18" s="54">
        <v>0.78263888888888899</v>
      </c>
      <c r="E18" s="54">
        <v>0.4291666666666667</v>
      </c>
      <c r="F18" s="11">
        <f t="shared" si="10"/>
        <v>8</v>
      </c>
      <c r="G18" s="7">
        <f t="shared" si="11"/>
        <v>29</v>
      </c>
      <c r="H18" s="7">
        <f t="shared" si="19"/>
        <v>30</v>
      </c>
      <c r="I18" s="7">
        <f t="shared" si="12"/>
        <v>8</v>
      </c>
      <c r="J18" s="8">
        <f t="shared" si="17"/>
        <v>0.35416666666666669</v>
      </c>
      <c r="K18" s="8">
        <v>0.375</v>
      </c>
      <c r="L18" s="8">
        <v>0.66666666666666696</v>
      </c>
      <c r="M18" s="7">
        <f t="shared" si="2"/>
        <v>18</v>
      </c>
      <c r="N18" s="7">
        <f t="shared" si="3"/>
        <v>47</v>
      </c>
      <c r="O18" s="7">
        <f t="shared" si="13"/>
        <v>45</v>
      </c>
      <c r="P18" s="8">
        <f t="shared" si="4"/>
        <v>0.78125</v>
      </c>
      <c r="Q18" s="66">
        <f t="shared" si="5"/>
        <v>0</v>
      </c>
      <c r="R18" s="49">
        <v>0.38541666666666669</v>
      </c>
      <c r="S18" s="37">
        <v>0.65625</v>
      </c>
      <c r="T18" s="60">
        <f t="shared" si="6"/>
        <v>0</v>
      </c>
      <c r="U18" s="63">
        <f t="shared" si="14"/>
        <v>0</v>
      </c>
      <c r="V18" s="64">
        <f t="shared" si="7"/>
        <v>555</v>
      </c>
      <c r="W18" s="7">
        <f t="shared" si="8"/>
        <v>1</v>
      </c>
      <c r="X18" s="12">
        <f t="shared" si="15"/>
        <v>510</v>
      </c>
      <c r="Y18" s="55">
        <f t="shared" si="18"/>
        <v>45</v>
      </c>
      <c r="Z18" s="56" t="str">
        <f t="shared" si="16"/>
        <v>Tuesday</v>
      </c>
      <c r="AA18" s="32"/>
    </row>
    <row r="19" spans="1:27" ht="15">
      <c r="A19" s="33" t="s">
        <v>26</v>
      </c>
      <c r="B19" s="50">
        <v>42963</v>
      </c>
      <c r="C19" s="54">
        <v>0.3298611111111111</v>
      </c>
      <c r="D19" s="54">
        <v>0.65486111111111112</v>
      </c>
      <c r="E19" s="54">
        <v>0.32500000000000001</v>
      </c>
      <c r="F19" s="11">
        <f t="shared" si="10"/>
        <v>7</v>
      </c>
      <c r="G19" s="7">
        <f t="shared" si="11"/>
        <v>55</v>
      </c>
      <c r="H19" s="7">
        <f t="shared" si="19"/>
        <v>55</v>
      </c>
      <c r="I19" s="7">
        <f t="shared" si="12"/>
        <v>7</v>
      </c>
      <c r="J19" s="8">
        <f t="shared" si="17"/>
        <v>0.3298611111111111</v>
      </c>
      <c r="K19" s="8">
        <v>0.375</v>
      </c>
      <c r="L19" s="8">
        <v>0.66666666666666696</v>
      </c>
      <c r="M19" s="7">
        <f t="shared" si="2"/>
        <v>15</v>
      </c>
      <c r="N19" s="7">
        <f t="shared" si="3"/>
        <v>43</v>
      </c>
      <c r="O19" s="7">
        <f t="shared" si="13"/>
        <v>40</v>
      </c>
      <c r="P19" s="8">
        <f t="shared" si="4"/>
        <v>0.65277777777777779</v>
      </c>
      <c r="Q19" s="66">
        <f t="shared" si="5"/>
        <v>1</v>
      </c>
      <c r="R19" s="49">
        <v>0.38541666666666669</v>
      </c>
      <c r="S19" s="37">
        <v>0.65625</v>
      </c>
      <c r="T19" s="60">
        <f t="shared" si="6"/>
        <v>2</v>
      </c>
      <c r="U19" s="63">
        <f t="shared" si="14"/>
        <v>30</v>
      </c>
      <c r="V19" s="64">
        <f t="shared" si="7"/>
        <v>405</v>
      </c>
      <c r="W19" s="7">
        <f t="shared" si="8"/>
        <v>1</v>
      </c>
      <c r="X19" s="12">
        <f t="shared" si="15"/>
        <v>510</v>
      </c>
      <c r="Y19" s="55">
        <f t="shared" si="18"/>
        <v>-105</v>
      </c>
      <c r="Z19" s="56" t="str">
        <f t="shared" si="16"/>
        <v>Wednesday</v>
      </c>
      <c r="AA19" s="32"/>
    </row>
    <row r="20" spans="1:27" ht="15">
      <c r="A20" s="33" t="s">
        <v>26</v>
      </c>
      <c r="B20" s="50">
        <v>42964</v>
      </c>
      <c r="C20" s="54"/>
      <c r="D20" s="54"/>
      <c r="E20" s="54"/>
      <c r="F20" s="11">
        <f t="shared" si="10"/>
        <v>0</v>
      </c>
      <c r="G20" s="7">
        <f t="shared" si="11"/>
        <v>0</v>
      </c>
      <c r="H20" s="7">
        <f t="shared" si="19"/>
        <v>0</v>
      </c>
      <c r="I20" s="7">
        <f t="shared" si="12"/>
        <v>0</v>
      </c>
      <c r="J20" s="8">
        <f t="shared" si="17"/>
        <v>0</v>
      </c>
      <c r="K20" s="8">
        <v>0.375</v>
      </c>
      <c r="L20" s="8">
        <v>0.66666666666666696</v>
      </c>
      <c r="M20" s="7">
        <f t="shared" si="2"/>
        <v>0</v>
      </c>
      <c r="N20" s="7">
        <f t="shared" si="3"/>
        <v>0</v>
      </c>
      <c r="O20" s="7">
        <f t="shared" si="13"/>
        <v>0</v>
      </c>
      <c r="P20" s="8">
        <f t="shared" si="4"/>
        <v>0</v>
      </c>
      <c r="Q20" s="66">
        <f t="shared" si="5"/>
        <v>0</v>
      </c>
      <c r="R20" s="49">
        <v>0.38541666666666669</v>
      </c>
      <c r="S20" s="37">
        <v>0.65625</v>
      </c>
      <c r="T20" s="60">
        <f t="shared" si="6"/>
        <v>0</v>
      </c>
      <c r="U20" s="63">
        <f t="shared" si="14"/>
        <v>0</v>
      </c>
      <c r="V20" s="64">
        <f t="shared" si="7"/>
        <v>0</v>
      </c>
      <c r="W20" s="7">
        <f t="shared" si="8"/>
        <v>0</v>
      </c>
      <c r="X20" s="12">
        <f t="shared" si="15"/>
        <v>0</v>
      </c>
      <c r="Y20" s="55">
        <f t="shared" si="18"/>
        <v>0</v>
      </c>
      <c r="Z20" s="56" t="str">
        <f t="shared" si="16"/>
        <v>Thursday</v>
      </c>
      <c r="AA20" s="32"/>
    </row>
    <row r="21" spans="1:27" ht="15">
      <c r="A21" s="33" t="s">
        <v>26</v>
      </c>
      <c r="B21" s="50">
        <v>42965</v>
      </c>
      <c r="C21" s="54"/>
      <c r="D21" s="54"/>
      <c r="E21" s="54"/>
      <c r="F21" s="11">
        <f t="shared" si="10"/>
        <v>0</v>
      </c>
      <c r="G21" s="7">
        <f t="shared" si="11"/>
        <v>0</v>
      </c>
      <c r="H21" s="7">
        <f t="shared" si="19"/>
        <v>0</v>
      </c>
      <c r="I21" s="7">
        <f t="shared" si="12"/>
        <v>0</v>
      </c>
      <c r="J21" s="8">
        <f t="shared" si="17"/>
        <v>0</v>
      </c>
      <c r="K21" s="8">
        <v>0.375</v>
      </c>
      <c r="L21" s="8">
        <v>0.66666666666666696</v>
      </c>
      <c r="M21" s="7">
        <f t="shared" si="2"/>
        <v>0</v>
      </c>
      <c r="N21" s="7">
        <f t="shared" si="3"/>
        <v>0</v>
      </c>
      <c r="O21" s="7">
        <f t="shared" si="13"/>
        <v>0</v>
      </c>
      <c r="P21" s="8">
        <f t="shared" si="4"/>
        <v>0</v>
      </c>
      <c r="Q21" s="66">
        <f t="shared" si="5"/>
        <v>0</v>
      </c>
      <c r="R21" s="49">
        <v>0.38541666666666669</v>
      </c>
      <c r="S21" s="37">
        <v>0.65625</v>
      </c>
      <c r="T21" s="60">
        <f t="shared" si="6"/>
        <v>0</v>
      </c>
      <c r="U21" s="63">
        <f t="shared" si="14"/>
        <v>0</v>
      </c>
      <c r="V21" s="64">
        <f t="shared" si="7"/>
        <v>0</v>
      </c>
      <c r="W21" s="7">
        <f t="shared" si="8"/>
        <v>0</v>
      </c>
      <c r="X21" s="12">
        <f t="shared" si="15"/>
        <v>0</v>
      </c>
      <c r="Y21" s="55">
        <f t="shared" si="18"/>
        <v>0</v>
      </c>
      <c r="Z21" s="56" t="str">
        <f t="shared" si="16"/>
        <v>Friday</v>
      </c>
      <c r="AA21" s="32"/>
    </row>
    <row r="22" spans="1:27" ht="15">
      <c r="A22" s="33" t="s">
        <v>26</v>
      </c>
      <c r="B22" s="50">
        <v>42966</v>
      </c>
      <c r="C22" s="54"/>
      <c r="D22" s="54"/>
      <c r="E22" s="54"/>
      <c r="F22" s="11">
        <f t="shared" si="10"/>
        <v>0</v>
      </c>
      <c r="G22" s="7">
        <f t="shared" si="11"/>
        <v>0</v>
      </c>
      <c r="H22" s="7">
        <f t="shared" si="19"/>
        <v>0</v>
      </c>
      <c r="I22" s="7">
        <f t="shared" si="12"/>
        <v>0</v>
      </c>
      <c r="J22" s="8">
        <f t="shared" si="17"/>
        <v>0</v>
      </c>
      <c r="K22" s="8">
        <v>0.375</v>
      </c>
      <c r="L22" s="8">
        <v>0.66666666666666696</v>
      </c>
      <c r="M22" s="7">
        <f t="shared" si="2"/>
        <v>0</v>
      </c>
      <c r="N22" s="7">
        <f t="shared" si="3"/>
        <v>0</v>
      </c>
      <c r="O22" s="7">
        <f t="shared" si="13"/>
        <v>0</v>
      </c>
      <c r="P22" s="8">
        <f t="shared" si="4"/>
        <v>0</v>
      </c>
      <c r="Q22" s="66">
        <f t="shared" si="5"/>
        <v>0</v>
      </c>
      <c r="R22" s="49">
        <v>0.38541666666666669</v>
      </c>
      <c r="S22" s="37">
        <v>0.65625</v>
      </c>
      <c r="T22" s="60">
        <f t="shared" si="6"/>
        <v>0</v>
      </c>
      <c r="U22" s="63">
        <f t="shared" si="14"/>
        <v>0</v>
      </c>
      <c r="V22" s="64">
        <f t="shared" si="7"/>
        <v>0</v>
      </c>
      <c r="W22" s="7">
        <f t="shared" si="8"/>
        <v>0</v>
      </c>
      <c r="X22" s="12">
        <f t="shared" si="15"/>
        <v>0</v>
      </c>
      <c r="Y22" s="55">
        <f t="shared" si="18"/>
        <v>0</v>
      </c>
      <c r="Z22" s="56" t="str">
        <f t="shared" si="16"/>
        <v>Saturday</v>
      </c>
      <c r="AA22" s="32"/>
    </row>
    <row r="23" spans="1:27" ht="15">
      <c r="A23" s="33" t="s">
        <v>26</v>
      </c>
      <c r="B23" s="50">
        <v>42967</v>
      </c>
      <c r="C23" s="54"/>
      <c r="D23" s="54"/>
      <c r="E23" s="54"/>
      <c r="F23" s="11">
        <f t="shared" si="10"/>
        <v>0</v>
      </c>
      <c r="G23" s="7">
        <f t="shared" si="11"/>
        <v>0</v>
      </c>
      <c r="H23" s="7">
        <f t="shared" si="19"/>
        <v>0</v>
      </c>
      <c r="I23" s="7">
        <f t="shared" si="12"/>
        <v>0</v>
      </c>
      <c r="J23" s="8">
        <f t="shared" si="17"/>
        <v>0</v>
      </c>
      <c r="K23" s="8">
        <v>0.375</v>
      </c>
      <c r="L23" s="8">
        <v>0.66666666666666696</v>
      </c>
      <c r="M23" s="7">
        <f t="shared" si="2"/>
        <v>0</v>
      </c>
      <c r="N23" s="7">
        <f t="shared" si="3"/>
        <v>0</v>
      </c>
      <c r="O23" s="7">
        <f t="shared" si="13"/>
        <v>0</v>
      </c>
      <c r="P23" s="8">
        <f t="shared" si="4"/>
        <v>0</v>
      </c>
      <c r="Q23" s="66">
        <f t="shared" si="5"/>
        <v>0</v>
      </c>
      <c r="R23" s="49">
        <v>0.38541666666666669</v>
      </c>
      <c r="S23" s="37">
        <v>0.65625</v>
      </c>
      <c r="T23" s="60">
        <f t="shared" si="6"/>
        <v>0</v>
      </c>
      <c r="U23" s="63">
        <f t="shared" si="14"/>
        <v>0</v>
      </c>
      <c r="V23" s="64">
        <f t="shared" si="7"/>
        <v>0</v>
      </c>
      <c r="W23" s="7">
        <f t="shared" si="8"/>
        <v>0</v>
      </c>
      <c r="X23" s="12">
        <f t="shared" si="15"/>
        <v>0</v>
      </c>
      <c r="Y23" s="55">
        <f t="shared" si="18"/>
        <v>0</v>
      </c>
      <c r="Z23" s="56" t="str">
        <f t="shared" si="16"/>
        <v>Sunday</v>
      </c>
      <c r="AA23" s="32"/>
    </row>
    <row r="24" spans="1:27" ht="15">
      <c r="A24" s="33" t="s">
        <v>26</v>
      </c>
      <c r="B24" s="50">
        <v>42968</v>
      </c>
      <c r="C24" s="54"/>
      <c r="D24" s="54"/>
      <c r="E24" s="54"/>
      <c r="F24" s="11">
        <f t="shared" si="10"/>
        <v>0</v>
      </c>
      <c r="G24" s="7">
        <f t="shared" si="11"/>
        <v>0</v>
      </c>
      <c r="H24" s="7">
        <f t="shared" si="19"/>
        <v>0</v>
      </c>
      <c r="I24" s="7">
        <f t="shared" si="12"/>
        <v>0</v>
      </c>
      <c r="J24" s="8">
        <f t="shared" si="17"/>
        <v>0</v>
      </c>
      <c r="K24" s="8">
        <v>0.375</v>
      </c>
      <c r="L24" s="8">
        <v>0.66666666666666696</v>
      </c>
      <c r="M24" s="7">
        <f t="shared" si="2"/>
        <v>0</v>
      </c>
      <c r="N24" s="7">
        <f t="shared" si="3"/>
        <v>0</v>
      </c>
      <c r="O24" s="7">
        <f t="shared" si="13"/>
        <v>0</v>
      </c>
      <c r="P24" s="8">
        <f t="shared" si="4"/>
        <v>0</v>
      </c>
      <c r="Q24" s="66">
        <f t="shared" si="5"/>
        <v>0</v>
      </c>
      <c r="R24" s="49">
        <v>0.38541666666666669</v>
      </c>
      <c r="S24" s="37">
        <v>0.65625</v>
      </c>
      <c r="T24" s="60">
        <f t="shared" si="6"/>
        <v>0</v>
      </c>
      <c r="U24" s="63">
        <f t="shared" si="14"/>
        <v>0</v>
      </c>
      <c r="V24" s="64">
        <f t="shared" si="7"/>
        <v>0</v>
      </c>
      <c r="W24" s="7">
        <f t="shared" si="8"/>
        <v>0</v>
      </c>
      <c r="X24" s="12">
        <f t="shared" si="15"/>
        <v>0</v>
      </c>
      <c r="Y24" s="55">
        <f t="shared" si="18"/>
        <v>0</v>
      </c>
      <c r="Z24" s="56" t="str">
        <f t="shared" si="16"/>
        <v>Monday</v>
      </c>
      <c r="AA24" s="32"/>
    </row>
    <row r="25" spans="1:27" ht="15">
      <c r="A25" s="33" t="s">
        <v>26</v>
      </c>
      <c r="B25" s="50">
        <v>42969</v>
      </c>
      <c r="C25" s="54"/>
      <c r="D25" s="54"/>
      <c r="E25" s="54"/>
      <c r="F25" s="11">
        <f t="shared" si="10"/>
        <v>0</v>
      </c>
      <c r="G25" s="7">
        <f t="shared" si="11"/>
        <v>0</v>
      </c>
      <c r="H25" s="7">
        <f t="shared" si="19"/>
        <v>0</v>
      </c>
      <c r="I25" s="7">
        <f t="shared" si="12"/>
        <v>0</v>
      </c>
      <c r="J25" s="8">
        <f t="shared" si="17"/>
        <v>0</v>
      </c>
      <c r="K25" s="8">
        <v>0.375</v>
      </c>
      <c r="L25" s="8">
        <v>0.66666666666666696</v>
      </c>
      <c r="M25" s="7">
        <f t="shared" si="2"/>
        <v>0</v>
      </c>
      <c r="N25" s="7">
        <f t="shared" si="3"/>
        <v>0</v>
      </c>
      <c r="O25" s="7">
        <f t="shared" si="13"/>
        <v>0</v>
      </c>
      <c r="P25" s="8">
        <f t="shared" si="4"/>
        <v>0</v>
      </c>
      <c r="Q25" s="66">
        <f t="shared" si="5"/>
        <v>0</v>
      </c>
      <c r="R25" s="49">
        <v>0.38541666666666669</v>
      </c>
      <c r="S25" s="37">
        <v>0.65625</v>
      </c>
      <c r="T25" s="60">
        <f t="shared" si="6"/>
        <v>0</v>
      </c>
      <c r="U25" s="63">
        <f t="shared" si="14"/>
        <v>0</v>
      </c>
      <c r="V25" s="64">
        <f t="shared" si="7"/>
        <v>0</v>
      </c>
      <c r="W25" s="7">
        <f t="shared" si="8"/>
        <v>0</v>
      </c>
      <c r="X25" s="12">
        <f t="shared" si="15"/>
        <v>0</v>
      </c>
      <c r="Y25" s="55">
        <f t="shared" si="18"/>
        <v>0</v>
      </c>
      <c r="Z25" s="56" t="str">
        <f t="shared" si="16"/>
        <v>Tuesday</v>
      </c>
      <c r="AA25" s="32"/>
    </row>
    <row r="26" spans="1:27" ht="15">
      <c r="A26" s="33" t="s">
        <v>26</v>
      </c>
      <c r="B26" s="50">
        <v>42970</v>
      </c>
      <c r="C26" s="54"/>
      <c r="D26" s="54"/>
      <c r="E26" s="54"/>
      <c r="F26" s="11">
        <f t="shared" si="10"/>
        <v>0</v>
      </c>
      <c r="G26" s="7">
        <f t="shared" si="11"/>
        <v>0</v>
      </c>
      <c r="H26" s="7">
        <f t="shared" si="19"/>
        <v>0</v>
      </c>
      <c r="I26" s="7">
        <f t="shared" si="12"/>
        <v>0</v>
      </c>
      <c r="J26" s="8">
        <f t="shared" si="17"/>
        <v>0</v>
      </c>
      <c r="K26" s="8">
        <v>0.375</v>
      </c>
      <c r="L26" s="8">
        <v>0.66666666666666696</v>
      </c>
      <c r="M26" s="7">
        <f t="shared" si="2"/>
        <v>0</v>
      </c>
      <c r="N26" s="7">
        <f t="shared" si="3"/>
        <v>0</v>
      </c>
      <c r="O26" s="7">
        <f t="shared" si="13"/>
        <v>0</v>
      </c>
      <c r="P26" s="8">
        <f t="shared" si="4"/>
        <v>0</v>
      </c>
      <c r="Q26" s="66">
        <f t="shared" si="5"/>
        <v>0</v>
      </c>
      <c r="R26" s="49">
        <v>0.38541666666666669</v>
      </c>
      <c r="S26" s="37">
        <v>0.65625</v>
      </c>
      <c r="T26" s="60">
        <f t="shared" si="6"/>
        <v>0</v>
      </c>
      <c r="U26" s="63">
        <f t="shared" si="14"/>
        <v>0</v>
      </c>
      <c r="V26" s="64">
        <f t="shared" si="7"/>
        <v>0</v>
      </c>
      <c r="W26" s="7">
        <f t="shared" si="8"/>
        <v>0</v>
      </c>
      <c r="X26" s="12">
        <f t="shared" si="15"/>
        <v>0</v>
      </c>
      <c r="Y26" s="55">
        <f t="shared" si="18"/>
        <v>0</v>
      </c>
      <c r="Z26" s="56" t="str">
        <f t="shared" si="16"/>
        <v>Wednesday</v>
      </c>
      <c r="AA26" s="32"/>
    </row>
    <row r="27" spans="1:27" ht="15">
      <c r="A27" s="33" t="s">
        <v>26</v>
      </c>
      <c r="B27" s="50">
        <v>42971</v>
      </c>
      <c r="C27" s="54"/>
      <c r="D27" s="54"/>
      <c r="E27" s="54"/>
      <c r="F27" s="11">
        <f t="shared" si="10"/>
        <v>0</v>
      </c>
      <c r="G27" s="7">
        <f t="shared" si="11"/>
        <v>0</v>
      </c>
      <c r="H27" s="7">
        <f t="shared" si="19"/>
        <v>0</v>
      </c>
      <c r="I27" s="7">
        <f t="shared" si="12"/>
        <v>0</v>
      </c>
      <c r="J27" s="8">
        <f t="shared" si="17"/>
        <v>0</v>
      </c>
      <c r="K27" s="8">
        <v>0.375</v>
      </c>
      <c r="L27" s="8">
        <v>0.66666666666666696</v>
      </c>
      <c r="M27" s="7">
        <f t="shared" si="2"/>
        <v>0</v>
      </c>
      <c r="N27" s="7">
        <f t="shared" si="3"/>
        <v>0</v>
      </c>
      <c r="O27" s="7">
        <f t="shared" si="13"/>
        <v>0</v>
      </c>
      <c r="P27" s="8">
        <f t="shared" si="4"/>
        <v>0</v>
      </c>
      <c r="Q27" s="66">
        <f t="shared" si="5"/>
        <v>0</v>
      </c>
      <c r="R27" s="49">
        <v>0.38541666666666669</v>
      </c>
      <c r="S27" s="37">
        <v>0.65625</v>
      </c>
      <c r="T27" s="60">
        <f t="shared" si="6"/>
        <v>0</v>
      </c>
      <c r="U27" s="63">
        <f t="shared" si="14"/>
        <v>0</v>
      </c>
      <c r="V27" s="64">
        <f t="shared" si="7"/>
        <v>0</v>
      </c>
      <c r="W27" s="7">
        <f t="shared" si="8"/>
        <v>0</v>
      </c>
      <c r="X27" s="12">
        <f t="shared" si="15"/>
        <v>0</v>
      </c>
      <c r="Y27" s="55">
        <f t="shared" si="18"/>
        <v>0</v>
      </c>
      <c r="Z27" s="56" t="str">
        <f t="shared" si="16"/>
        <v>Thursday</v>
      </c>
      <c r="AA27" s="32"/>
    </row>
    <row r="28" spans="1:27" ht="15">
      <c r="A28" s="33" t="s">
        <v>26</v>
      </c>
      <c r="B28" s="50">
        <v>42972</v>
      </c>
      <c r="C28" s="54"/>
      <c r="D28" s="54"/>
      <c r="E28" s="54"/>
      <c r="F28" s="11">
        <f t="shared" si="10"/>
        <v>0</v>
      </c>
      <c r="G28" s="7">
        <f t="shared" si="11"/>
        <v>0</v>
      </c>
      <c r="H28" s="7">
        <f t="shared" si="19"/>
        <v>0</v>
      </c>
      <c r="I28" s="7">
        <f t="shared" si="12"/>
        <v>0</v>
      </c>
      <c r="J28" s="8">
        <f t="shared" si="17"/>
        <v>0</v>
      </c>
      <c r="K28" s="8">
        <v>0.375</v>
      </c>
      <c r="L28" s="8">
        <v>0.66666666666666696</v>
      </c>
      <c r="M28" s="7">
        <f t="shared" si="2"/>
        <v>0</v>
      </c>
      <c r="N28" s="7">
        <f t="shared" si="3"/>
        <v>0</v>
      </c>
      <c r="O28" s="7">
        <f t="shared" si="13"/>
        <v>0</v>
      </c>
      <c r="P28" s="8">
        <f t="shared" si="4"/>
        <v>0</v>
      </c>
      <c r="Q28" s="66">
        <f t="shared" si="5"/>
        <v>0</v>
      </c>
      <c r="R28" s="49">
        <v>0.38541666666666669</v>
      </c>
      <c r="S28" s="37">
        <v>0.65625</v>
      </c>
      <c r="T28" s="60">
        <f t="shared" si="6"/>
        <v>0</v>
      </c>
      <c r="U28" s="63">
        <f t="shared" si="14"/>
        <v>0</v>
      </c>
      <c r="V28" s="64">
        <f t="shared" si="7"/>
        <v>0</v>
      </c>
      <c r="W28" s="7">
        <f t="shared" si="8"/>
        <v>0</v>
      </c>
      <c r="X28" s="12">
        <f t="shared" si="15"/>
        <v>0</v>
      </c>
      <c r="Y28" s="55">
        <f t="shared" si="18"/>
        <v>0</v>
      </c>
      <c r="Z28" s="56" t="str">
        <f t="shared" si="16"/>
        <v>Friday</v>
      </c>
      <c r="AA28" s="32"/>
    </row>
    <row r="29" spans="1:27" ht="15">
      <c r="A29" s="33" t="s">
        <v>26</v>
      </c>
      <c r="B29" s="50">
        <v>42973</v>
      </c>
      <c r="C29" s="54"/>
      <c r="D29" s="54"/>
      <c r="E29" s="54"/>
      <c r="F29" s="11">
        <f t="shared" si="10"/>
        <v>0</v>
      </c>
      <c r="G29" s="7">
        <f t="shared" si="11"/>
        <v>0</v>
      </c>
      <c r="H29" s="7">
        <f t="shared" si="19"/>
        <v>0</v>
      </c>
      <c r="I29" s="7">
        <f t="shared" si="12"/>
        <v>0</v>
      </c>
      <c r="J29" s="8">
        <f t="shared" si="17"/>
        <v>0</v>
      </c>
      <c r="K29" s="8">
        <v>0.375</v>
      </c>
      <c r="L29" s="8">
        <v>0.66666666666666696</v>
      </c>
      <c r="M29" s="7">
        <f t="shared" si="2"/>
        <v>0</v>
      </c>
      <c r="N29" s="7">
        <f t="shared" si="3"/>
        <v>0</v>
      </c>
      <c r="O29" s="7">
        <f t="shared" si="13"/>
        <v>0</v>
      </c>
      <c r="P29" s="8">
        <f t="shared" si="4"/>
        <v>0</v>
      </c>
      <c r="Q29" s="66">
        <f t="shared" si="5"/>
        <v>0</v>
      </c>
      <c r="R29" s="49">
        <v>0.38541666666666669</v>
      </c>
      <c r="S29" s="37">
        <v>0.65625</v>
      </c>
      <c r="T29" s="60">
        <f t="shared" si="6"/>
        <v>0</v>
      </c>
      <c r="U29" s="63">
        <f t="shared" si="14"/>
        <v>0</v>
      </c>
      <c r="V29" s="64">
        <f t="shared" si="7"/>
        <v>0</v>
      </c>
      <c r="W29" s="7">
        <f t="shared" si="8"/>
        <v>0</v>
      </c>
      <c r="X29" s="12">
        <f t="shared" si="15"/>
        <v>0</v>
      </c>
      <c r="Y29" s="55">
        <f t="shared" si="18"/>
        <v>0</v>
      </c>
      <c r="Z29" s="56" t="str">
        <f t="shared" si="16"/>
        <v>Saturday</v>
      </c>
      <c r="AA29" s="32"/>
    </row>
    <row r="30" spans="1:27" ht="15">
      <c r="A30" s="33" t="s">
        <v>26</v>
      </c>
      <c r="B30" s="50">
        <v>42974</v>
      </c>
      <c r="C30" s="54"/>
      <c r="D30" s="54"/>
      <c r="E30" s="54"/>
      <c r="F30" s="11">
        <f t="shared" si="10"/>
        <v>0</v>
      </c>
      <c r="G30" s="7">
        <f t="shared" si="11"/>
        <v>0</v>
      </c>
      <c r="H30" s="7">
        <f t="shared" si="19"/>
        <v>0</v>
      </c>
      <c r="I30" s="7">
        <f t="shared" si="12"/>
        <v>0</v>
      </c>
      <c r="J30" s="8">
        <f t="shared" si="17"/>
        <v>0</v>
      </c>
      <c r="K30" s="8">
        <v>0.375</v>
      </c>
      <c r="L30" s="8">
        <v>0.66666666666666696</v>
      </c>
      <c r="M30" s="7">
        <f t="shared" si="2"/>
        <v>0</v>
      </c>
      <c r="N30" s="7">
        <f t="shared" si="3"/>
        <v>0</v>
      </c>
      <c r="O30" s="7">
        <f t="shared" si="13"/>
        <v>0</v>
      </c>
      <c r="P30" s="8">
        <f t="shared" si="4"/>
        <v>0</v>
      </c>
      <c r="Q30" s="66">
        <f t="shared" si="5"/>
        <v>0</v>
      </c>
      <c r="R30" s="49">
        <v>0.38541666666666669</v>
      </c>
      <c r="S30" s="37">
        <v>0.65625</v>
      </c>
      <c r="T30" s="60">
        <f t="shared" si="6"/>
        <v>0</v>
      </c>
      <c r="U30" s="63">
        <f t="shared" si="14"/>
        <v>0</v>
      </c>
      <c r="V30" s="64">
        <f t="shared" si="7"/>
        <v>0</v>
      </c>
      <c r="W30" s="7">
        <f t="shared" si="8"/>
        <v>0</v>
      </c>
      <c r="X30" s="12">
        <f t="shared" si="15"/>
        <v>0</v>
      </c>
      <c r="Y30" s="55">
        <f t="shared" si="18"/>
        <v>0</v>
      </c>
      <c r="Z30" s="56" t="str">
        <f t="shared" si="16"/>
        <v>Sunday</v>
      </c>
      <c r="AA30" s="32"/>
    </row>
    <row r="31" spans="1:27" ht="15">
      <c r="A31" s="33" t="s">
        <v>26</v>
      </c>
      <c r="B31" s="50">
        <v>42975</v>
      </c>
      <c r="C31" s="54"/>
      <c r="D31" s="54"/>
      <c r="E31" s="54"/>
      <c r="F31" s="11">
        <f t="shared" si="10"/>
        <v>0</v>
      </c>
      <c r="G31" s="7">
        <f t="shared" si="11"/>
        <v>0</v>
      </c>
      <c r="H31" s="7">
        <f t="shared" si="19"/>
        <v>0</v>
      </c>
      <c r="I31" s="7">
        <f t="shared" si="12"/>
        <v>0</v>
      </c>
      <c r="J31" s="8">
        <f t="shared" si="17"/>
        <v>0</v>
      </c>
      <c r="K31" s="8">
        <v>0.375</v>
      </c>
      <c r="L31" s="8">
        <v>0.66666666666666696</v>
      </c>
      <c r="M31" s="7">
        <f t="shared" si="2"/>
        <v>0</v>
      </c>
      <c r="N31" s="7">
        <f t="shared" si="3"/>
        <v>0</v>
      </c>
      <c r="O31" s="7">
        <f t="shared" si="13"/>
        <v>0</v>
      </c>
      <c r="P31" s="8">
        <f t="shared" si="4"/>
        <v>0</v>
      </c>
      <c r="Q31" s="66">
        <f t="shared" si="5"/>
        <v>0</v>
      </c>
      <c r="R31" s="49">
        <v>0.38541666666666669</v>
      </c>
      <c r="S31" s="37">
        <v>0.65625</v>
      </c>
      <c r="T31" s="60">
        <f t="shared" si="6"/>
        <v>0</v>
      </c>
      <c r="U31" s="63">
        <f t="shared" si="14"/>
        <v>0</v>
      </c>
      <c r="V31" s="64">
        <f t="shared" si="7"/>
        <v>0</v>
      </c>
      <c r="W31" s="7">
        <f t="shared" si="8"/>
        <v>0</v>
      </c>
      <c r="X31" s="12">
        <f t="shared" si="15"/>
        <v>0</v>
      </c>
      <c r="Y31" s="55">
        <f t="shared" si="18"/>
        <v>0</v>
      </c>
      <c r="Z31" s="56" t="str">
        <f t="shared" si="16"/>
        <v>Monday</v>
      </c>
      <c r="AA31" s="32"/>
    </row>
    <row r="32" spans="1:27" ht="15">
      <c r="A32" s="33" t="s">
        <v>26</v>
      </c>
      <c r="B32" s="50">
        <v>42976</v>
      </c>
      <c r="C32" s="54"/>
      <c r="D32" s="54"/>
      <c r="E32" s="54"/>
      <c r="F32" s="11">
        <f t="shared" si="10"/>
        <v>0</v>
      </c>
      <c r="G32" s="7">
        <f t="shared" si="11"/>
        <v>0</v>
      </c>
      <c r="H32" s="7">
        <f t="shared" si="19"/>
        <v>0</v>
      </c>
      <c r="I32" s="7">
        <f t="shared" si="12"/>
        <v>0</v>
      </c>
      <c r="J32" s="8">
        <f t="shared" si="17"/>
        <v>0</v>
      </c>
      <c r="K32" s="8">
        <v>0.375</v>
      </c>
      <c r="L32" s="8">
        <v>0.66666666666666696</v>
      </c>
      <c r="M32" s="7">
        <f t="shared" si="2"/>
        <v>0</v>
      </c>
      <c r="N32" s="7">
        <f t="shared" si="3"/>
        <v>0</v>
      </c>
      <c r="O32" s="7">
        <f t="shared" si="13"/>
        <v>0</v>
      </c>
      <c r="P32" s="8">
        <f t="shared" si="4"/>
        <v>0</v>
      </c>
      <c r="Q32" s="66">
        <f t="shared" si="5"/>
        <v>0</v>
      </c>
      <c r="R32" s="49">
        <v>0.38541666666666669</v>
      </c>
      <c r="S32" s="37">
        <v>0.65625</v>
      </c>
      <c r="T32" s="60">
        <f t="shared" si="6"/>
        <v>0</v>
      </c>
      <c r="U32" s="63">
        <f t="shared" si="14"/>
        <v>0</v>
      </c>
      <c r="V32" s="64">
        <f t="shared" si="7"/>
        <v>0</v>
      </c>
      <c r="W32" s="7">
        <f t="shared" si="8"/>
        <v>0</v>
      </c>
      <c r="X32" s="12">
        <f t="shared" si="15"/>
        <v>0</v>
      </c>
      <c r="Y32" s="55">
        <f t="shared" si="18"/>
        <v>0</v>
      </c>
      <c r="Z32" s="56" t="str">
        <f t="shared" si="16"/>
        <v>Tuesday</v>
      </c>
      <c r="AA32" s="32"/>
    </row>
    <row r="33" spans="1:27" ht="15">
      <c r="A33" s="33" t="s">
        <v>26</v>
      </c>
      <c r="B33" s="50">
        <v>42977</v>
      </c>
      <c r="C33" s="54"/>
      <c r="D33" s="54"/>
      <c r="E33" s="54"/>
      <c r="F33" s="11">
        <f t="shared" si="10"/>
        <v>0</v>
      </c>
      <c r="G33" s="7">
        <f t="shared" si="11"/>
        <v>0</v>
      </c>
      <c r="H33" s="7">
        <f t="shared" si="19"/>
        <v>0</v>
      </c>
      <c r="I33" s="7">
        <f t="shared" si="12"/>
        <v>0</v>
      </c>
      <c r="J33" s="8">
        <f t="shared" si="17"/>
        <v>0</v>
      </c>
      <c r="K33" s="8">
        <v>0.375</v>
      </c>
      <c r="L33" s="8">
        <v>0.66666666666666696</v>
      </c>
      <c r="M33" s="7">
        <f t="shared" si="2"/>
        <v>0</v>
      </c>
      <c r="N33" s="7">
        <f t="shared" si="3"/>
        <v>0</v>
      </c>
      <c r="O33" s="7">
        <f t="shared" si="13"/>
        <v>0</v>
      </c>
      <c r="P33" s="8">
        <f t="shared" si="4"/>
        <v>0</v>
      </c>
      <c r="Q33" s="66">
        <f t="shared" si="5"/>
        <v>0</v>
      </c>
      <c r="R33" s="49">
        <v>0.38541666666666669</v>
      </c>
      <c r="S33" s="37">
        <v>0.65625</v>
      </c>
      <c r="T33" s="60">
        <f t="shared" si="6"/>
        <v>0</v>
      </c>
      <c r="U33" s="63">
        <f t="shared" si="14"/>
        <v>0</v>
      </c>
      <c r="V33" s="64">
        <f t="shared" si="7"/>
        <v>0</v>
      </c>
      <c r="W33" s="7">
        <f t="shared" si="8"/>
        <v>0</v>
      </c>
      <c r="X33" s="12">
        <f t="shared" si="15"/>
        <v>0</v>
      </c>
      <c r="Y33" s="55">
        <f t="shared" si="18"/>
        <v>0</v>
      </c>
      <c r="Z33" s="56" t="str">
        <f t="shared" si="16"/>
        <v>Wednesday</v>
      </c>
      <c r="AA33" s="32"/>
    </row>
    <row r="34" spans="1:27" ht="15.75" thickBot="1">
      <c r="A34" s="33" t="s">
        <v>26</v>
      </c>
      <c r="B34" s="50">
        <v>42978</v>
      </c>
      <c r="C34" s="54"/>
      <c r="D34" s="54"/>
      <c r="E34" s="54"/>
      <c r="F34" s="15">
        <f t="shared" si="10"/>
        <v>0</v>
      </c>
      <c r="G34" s="16">
        <f t="shared" si="11"/>
        <v>0</v>
      </c>
      <c r="H34" s="7">
        <f t="shared" si="19"/>
        <v>0</v>
      </c>
      <c r="I34" s="16">
        <f t="shared" si="12"/>
        <v>0</v>
      </c>
      <c r="J34" s="8">
        <f t="shared" si="17"/>
        <v>0</v>
      </c>
      <c r="K34" s="8">
        <v>0.375</v>
      </c>
      <c r="L34" s="8">
        <v>0.66666666666666696</v>
      </c>
      <c r="M34" s="7">
        <f t="shared" si="2"/>
        <v>0</v>
      </c>
      <c r="N34" s="7">
        <f t="shared" si="3"/>
        <v>0</v>
      </c>
      <c r="O34" s="7">
        <f t="shared" si="13"/>
        <v>0</v>
      </c>
      <c r="P34" s="8">
        <f t="shared" si="4"/>
        <v>0</v>
      </c>
      <c r="Q34" s="66">
        <f t="shared" si="5"/>
        <v>0</v>
      </c>
      <c r="R34" s="49">
        <v>0.38541666666666669</v>
      </c>
      <c r="S34" s="37">
        <v>0.65625</v>
      </c>
      <c r="T34" s="60">
        <f t="shared" si="6"/>
        <v>0</v>
      </c>
      <c r="U34" s="63">
        <f t="shared" si="14"/>
        <v>0</v>
      </c>
      <c r="V34" s="64">
        <f t="shared" si="7"/>
        <v>0</v>
      </c>
      <c r="W34" s="7">
        <f t="shared" si="8"/>
        <v>0</v>
      </c>
      <c r="X34" s="12">
        <f t="shared" si="15"/>
        <v>0</v>
      </c>
      <c r="Y34" s="55">
        <f t="shared" si="18"/>
        <v>0</v>
      </c>
      <c r="Z34" s="56" t="str">
        <f t="shared" si="16"/>
        <v>Thursday</v>
      </c>
      <c r="AA34" s="32"/>
    </row>
    <row r="35" spans="1:27" ht="15" thickBot="1">
      <c r="A35" s="34"/>
      <c r="B35" s="56"/>
      <c r="C35" s="54"/>
      <c r="D35" s="54"/>
      <c r="E35" s="18"/>
      <c r="F35" s="7"/>
      <c r="G35" s="7"/>
      <c r="H35" s="7"/>
      <c r="I35" s="7"/>
      <c r="J35" s="7"/>
      <c r="K35" s="7"/>
      <c r="L35" s="7"/>
      <c r="M35" s="7"/>
      <c r="N35" s="7"/>
      <c r="O35" s="7"/>
      <c r="P35" s="20"/>
      <c r="Q35" s="66">
        <f t="shared" ref="Q35:T35" si="20" xml:space="preserve"> SUM(Q4:Q34)</f>
        <v>1</v>
      </c>
      <c r="R35" s="65">
        <f t="shared" si="20"/>
        <v>11.947916666666663</v>
      </c>
      <c r="S35" s="61">
        <f t="shared" si="20"/>
        <v>20.34375</v>
      </c>
      <c r="T35" s="61">
        <f t="shared" si="20"/>
        <v>2</v>
      </c>
      <c r="U35" s="61">
        <f xml:space="preserve"> SUM(U4:U34)</f>
        <v>30</v>
      </c>
      <c r="V35" s="67">
        <f xml:space="preserve"> SUM(V4:V34)</f>
        <v>6745</v>
      </c>
      <c r="W35" s="21">
        <f xml:space="preserve"> SUM(W4:W34)</f>
        <v>11</v>
      </c>
      <c r="X35" s="23">
        <f xml:space="preserve"> SUM(X4:X34)</f>
        <v>5610</v>
      </c>
      <c r="Y35" s="26">
        <f>SUM(Y4:Y34)-U35</f>
        <v>1105</v>
      </c>
      <c r="Z35" s="17"/>
      <c r="AA35" s="32"/>
    </row>
    <row r="36" spans="1:27" ht="15.75" thickBot="1">
      <c r="A36" s="33"/>
      <c r="B36" s="50"/>
      <c r="C36" s="54"/>
      <c r="D36" s="54"/>
      <c r="E36" s="54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2"/>
      <c r="R36" s="62"/>
      <c r="S36" s="62"/>
      <c r="T36" s="62"/>
      <c r="U36" s="62"/>
      <c r="V36" s="22"/>
      <c r="W36" s="5"/>
      <c r="X36" s="24"/>
      <c r="Y36" s="68">
        <f>Y35/60</f>
        <v>18.416666666666668</v>
      </c>
      <c r="Z36" s="19"/>
      <c r="AA36" s="32"/>
    </row>
    <row r="37" spans="1:27">
      <c r="A37" s="35"/>
      <c r="B37" s="36"/>
      <c r="C37" s="37"/>
      <c r="D37" s="37"/>
      <c r="E37" s="37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9"/>
      <c r="AA37" s="32"/>
    </row>
    <row r="38" spans="1:27">
      <c r="A38" s="35"/>
      <c r="B38" s="36"/>
      <c r="C38" s="37"/>
      <c r="D38" s="37"/>
      <c r="E38" s="37"/>
      <c r="F38" s="37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9"/>
      <c r="AA38" s="40"/>
    </row>
    <row r="39" spans="1:27" ht="15" thickBot="1">
      <c r="A39" s="42"/>
      <c r="B39" s="43"/>
      <c r="C39" s="44"/>
      <c r="D39" s="44"/>
      <c r="E39" s="44"/>
      <c r="F39" s="44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6"/>
      <c r="AA39" s="41"/>
    </row>
    <row r="40" spans="1:27">
      <c r="B40" s="53"/>
      <c r="C40" s="52"/>
      <c r="D40" s="52"/>
      <c r="E40" s="52"/>
      <c r="F40" s="52"/>
    </row>
    <row r="41" spans="1:27">
      <c r="B41" s="53"/>
      <c r="C41" s="52"/>
      <c r="D41" s="52"/>
      <c r="E41" s="52"/>
      <c r="F41" s="52"/>
    </row>
    <row r="42" spans="1:27">
      <c r="B42" s="53"/>
      <c r="C42" s="52"/>
      <c r="D42" s="52"/>
      <c r="E42" s="52"/>
      <c r="F42" s="52"/>
    </row>
    <row r="43" spans="1:27">
      <c r="B43" s="53"/>
      <c r="C43" s="52"/>
      <c r="D43" s="52"/>
      <c r="E43" s="52"/>
      <c r="F43" s="52"/>
    </row>
    <row r="44" spans="1:27">
      <c r="B44" s="53"/>
      <c r="C44" s="52"/>
      <c r="D44" s="52"/>
      <c r="E44" s="52"/>
      <c r="F44" s="52"/>
    </row>
    <row r="45" spans="1:27">
      <c r="B45" s="53"/>
      <c r="C45" s="52"/>
      <c r="D45" s="52"/>
      <c r="E45" s="52"/>
      <c r="F45" s="52"/>
    </row>
    <row r="46" spans="1:27">
      <c r="C46" s="52"/>
      <c r="D46" s="52"/>
      <c r="E46" s="52"/>
      <c r="F46" s="52"/>
    </row>
    <row r="47" spans="1:27">
      <c r="C47" s="52"/>
      <c r="D47" s="52"/>
      <c r="E47" s="52"/>
      <c r="F47" s="52"/>
    </row>
    <row r="48" spans="1:27">
      <c r="C48" s="52"/>
      <c r="D48" s="52"/>
      <c r="E48" s="52"/>
      <c r="F48" s="52"/>
    </row>
    <row r="49" spans="2:6">
      <c r="C49" s="52"/>
      <c r="D49" s="52"/>
      <c r="E49" s="52"/>
      <c r="F49" s="52"/>
    </row>
    <row r="50" spans="2:6">
      <c r="C50" s="52"/>
      <c r="D50" s="52"/>
      <c r="E50" s="52"/>
      <c r="F50" s="52"/>
    </row>
    <row r="51" spans="2:6">
      <c r="C51" s="52"/>
      <c r="D51" s="52"/>
      <c r="E51" s="52"/>
      <c r="F51" s="52"/>
    </row>
    <row r="52" spans="2:6">
      <c r="C52" s="52"/>
      <c r="D52" s="52"/>
      <c r="E52" s="52"/>
      <c r="F52" s="52"/>
    </row>
    <row r="53" spans="2:6">
      <c r="C53" s="52"/>
      <c r="D53" s="52"/>
      <c r="E53" s="52"/>
      <c r="F53" s="52"/>
    </row>
    <row r="54" spans="2:6">
      <c r="B54" s="53"/>
      <c r="C54" s="52"/>
      <c r="D54" s="52"/>
      <c r="E54" s="52"/>
      <c r="F54" s="52"/>
    </row>
    <row r="55" spans="2:6">
      <c r="B55" s="53"/>
      <c r="C55" s="52"/>
      <c r="D55" s="52"/>
      <c r="E55" s="52"/>
      <c r="F55" s="52"/>
    </row>
    <row r="56" spans="2:6">
      <c r="B56" s="53"/>
      <c r="C56" s="52"/>
      <c r="D56" s="52"/>
      <c r="E56" s="52"/>
      <c r="F56" s="52"/>
    </row>
    <row r="57" spans="2:6">
      <c r="B57" s="53"/>
      <c r="C57" s="52"/>
      <c r="D57" s="52"/>
      <c r="E57" s="52"/>
      <c r="F57" s="52"/>
    </row>
    <row r="58" spans="2:6">
      <c r="B58" s="53"/>
      <c r="C58" s="52"/>
      <c r="D58" s="52"/>
      <c r="E58" s="52"/>
      <c r="F58" s="52"/>
    </row>
    <row r="59" spans="2:6">
      <c r="B59" s="53"/>
      <c r="C59" s="52"/>
      <c r="D59" s="52"/>
      <c r="E59" s="52"/>
      <c r="F59" s="52"/>
    </row>
    <row r="60" spans="2:6">
      <c r="B60" s="53"/>
      <c r="C60" s="52"/>
      <c r="D60" s="52"/>
      <c r="E60" s="52"/>
      <c r="F60" s="52"/>
    </row>
    <row r="61" spans="2:6">
      <c r="B61" s="53"/>
      <c r="C61" s="52"/>
      <c r="D61" s="52"/>
      <c r="E61" s="52"/>
      <c r="F61" s="52"/>
    </row>
    <row r="62" spans="2:6">
      <c r="B62" s="53"/>
      <c r="C62" s="52"/>
      <c r="D62" s="52"/>
      <c r="E62" s="52"/>
      <c r="F62" s="52"/>
    </row>
    <row r="63" spans="2:6">
      <c r="B63" s="53"/>
      <c r="C63" s="52"/>
      <c r="D63" s="52"/>
      <c r="E63" s="52"/>
      <c r="F63" s="52"/>
    </row>
    <row r="64" spans="2:6">
      <c r="B64" s="53"/>
      <c r="C64" s="52"/>
      <c r="D64" s="52"/>
      <c r="E64" s="52"/>
      <c r="F64" s="52"/>
    </row>
    <row r="65" spans="2:6">
      <c r="B65" s="53"/>
      <c r="C65" s="52"/>
      <c r="D65" s="52"/>
      <c r="E65" s="52"/>
      <c r="F65" s="52"/>
    </row>
    <row r="66" spans="2:6">
      <c r="B66" s="53"/>
      <c r="C66" s="52"/>
      <c r="D66" s="52"/>
      <c r="E66" s="52"/>
      <c r="F66" s="52"/>
    </row>
    <row r="67" spans="2:6">
      <c r="B67" s="53"/>
      <c r="C67" s="52"/>
      <c r="D67" s="52"/>
      <c r="E67" s="52"/>
      <c r="F67" s="52"/>
    </row>
    <row r="68" spans="2:6">
      <c r="B68" s="53"/>
      <c r="C68" s="52"/>
      <c r="D68" s="52"/>
      <c r="E68" s="52"/>
      <c r="F68" s="52"/>
    </row>
    <row r="69" spans="2:6">
      <c r="B69" s="53"/>
      <c r="C69" s="52"/>
      <c r="D69" s="52"/>
      <c r="E69" s="52"/>
    </row>
    <row r="70" spans="2:6">
      <c r="B70" s="53"/>
      <c r="C70" s="52"/>
      <c r="D70" s="52"/>
      <c r="E70" s="52"/>
    </row>
    <row r="71" spans="2:6">
      <c r="B71" s="53"/>
      <c r="C71" s="52"/>
      <c r="D71" s="52"/>
      <c r="E71" s="52"/>
    </row>
    <row r="72" spans="2:6">
      <c r="B72" s="53"/>
      <c r="C72" s="52"/>
      <c r="D72" s="52"/>
      <c r="E72" s="52"/>
    </row>
    <row r="73" spans="2:6">
      <c r="B73" s="53"/>
      <c r="C73" s="52"/>
      <c r="D73" s="52"/>
      <c r="E73" s="52"/>
    </row>
    <row r="74" spans="2:6">
      <c r="B74" s="53"/>
      <c r="C74" s="52"/>
      <c r="D74" s="52"/>
      <c r="E74" s="52"/>
    </row>
    <row r="75" spans="2:6">
      <c r="B75" s="53"/>
      <c r="C75" s="52"/>
      <c r="D75" s="52"/>
      <c r="E75" s="52"/>
    </row>
    <row r="76" spans="2:6">
      <c r="C76" s="52"/>
      <c r="E76" s="52"/>
    </row>
    <row r="77" spans="2:6">
      <c r="C77" s="52"/>
      <c r="D77" s="52"/>
      <c r="E77" s="52"/>
    </row>
    <row r="78" spans="2:6">
      <c r="C78" s="52"/>
      <c r="D78" s="52"/>
      <c r="E78" s="52"/>
    </row>
    <row r="79" spans="2:6">
      <c r="C79" s="52"/>
      <c r="D79" s="52"/>
      <c r="E79" s="52"/>
    </row>
    <row r="80" spans="2:6">
      <c r="C80" s="52"/>
      <c r="D80" s="52"/>
      <c r="E80" s="52"/>
    </row>
    <row r="81" spans="3:5">
      <c r="C81" s="52"/>
      <c r="D81" s="52"/>
      <c r="E81" s="52"/>
    </row>
    <row r="82" spans="3:5">
      <c r="C82" s="52"/>
      <c r="D82" s="52"/>
      <c r="E82" s="52"/>
    </row>
    <row r="83" spans="3:5">
      <c r="C83" s="52"/>
      <c r="D83" s="52"/>
      <c r="E83" s="52"/>
    </row>
    <row r="84" spans="3:5">
      <c r="C84" s="52"/>
      <c r="D84" s="52"/>
      <c r="E84" s="52"/>
    </row>
    <row r="85" spans="3:5">
      <c r="C85" s="52"/>
      <c r="D85" s="52"/>
      <c r="E85" s="52"/>
    </row>
    <row r="86" spans="3:5">
      <c r="C86" s="52"/>
      <c r="D86" s="52"/>
      <c r="E86" s="52"/>
    </row>
    <row r="87" spans="3:5">
      <c r="C87" s="52"/>
      <c r="D87" s="52"/>
      <c r="E87" s="52"/>
    </row>
    <row r="88" spans="3:5">
      <c r="C88" s="52"/>
      <c r="D88" s="52"/>
      <c r="E88" s="52"/>
    </row>
    <row r="89" spans="3:5">
      <c r="C89" s="52"/>
      <c r="D89" s="52"/>
      <c r="E89" s="52"/>
    </row>
    <row r="90" spans="3:5">
      <c r="C90" s="52"/>
      <c r="D90" s="52"/>
      <c r="E90" s="52"/>
    </row>
    <row r="91" spans="3:5">
      <c r="C91" s="52"/>
      <c r="D91" s="52"/>
      <c r="E91" s="52"/>
    </row>
    <row r="92" spans="3:5">
      <c r="C92" s="52"/>
      <c r="D92" s="52"/>
      <c r="E92" s="52"/>
    </row>
    <row r="93" spans="3:5">
      <c r="C93" s="52"/>
      <c r="D93" s="52"/>
      <c r="E93" s="52"/>
    </row>
  </sheetData>
  <mergeCells count="2">
    <mergeCell ref="A2:E2"/>
    <mergeCell ref="J2:Z2"/>
  </mergeCells>
  <phoneticPr fontId="11"/>
  <conditionalFormatting sqref="Z4:Z34">
    <cfRule type="cellIs" dxfId="3" priority="4" operator="equal">
      <formula>"Sunday"</formula>
    </cfRule>
  </conditionalFormatting>
  <conditionalFormatting sqref="Z9">
    <cfRule type="cellIs" dxfId="2" priority="3" operator="equal">
      <formula>"Saturday"</formula>
    </cfRule>
  </conditionalFormatting>
  <conditionalFormatting sqref="Z4:Z34">
    <cfRule type="cellIs" dxfId="1" priority="2" operator="equal">
      <formula>"Saturday"</formula>
    </cfRule>
  </conditionalFormatting>
  <conditionalFormatting sqref="B4:B34">
    <cfRule type="cellIs" dxfId="0" priority="1" operator="equal">
      <formula>$AB$3</formula>
    </cfRule>
  </conditionalFormatting>
  <dataValidations count="1">
    <dataValidation type="date" operator="equal" allowBlank="1" showInputMessage="1" showErrorMessage="1" sqref="B4:B34">
      <formula1>TODAY()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TimeSheet</vt:lpstr>
      <vt:lpstr>Manual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Thi Dung</dc:creator>
  <cp:lastModifiedBy>4000220</cp:lastModifiedBy>
  <dcterms:created xsi:type="dcterms:W3CDTF">2017-05-05T07:30:54Z</dcterms:created>
  <dcterms:modified xsi:type="dcterms:W3CDTF">2017-08-29T04:45:30Z</dcterms:modified>
</cp:coreProperties>
</file>